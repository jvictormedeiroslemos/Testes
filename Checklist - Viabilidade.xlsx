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ao.lemos\Desktop\"/>
    </mc:Choice>
  </mc:AlternateContent>
  <xr:revisionPtr revIDLastSave="0" documentId="13_ncr:1_{3D636544-A719-4264-8F7E-995E0E88E0F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corporação" sheetId="2" r:id="rId1"/>
    <sheet name="Urbanismo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7" l="1"/>
  <c r="A17" i="7" s="1"/>
  <c r="A7" i="2" l="1"/>
  <c r="A16" i="2" s="1"/>
</calcChain>
</file>

<file path=xl/sharedStrings.xml><?xml version="1.0" encoding="utf-8"?>
<sst xmlns="http://schemas.openxmlformats.org/spreadsheetml/2006/main" count="486" uniqueCount="262">
  <si>
    <t>Checklist - Estudo de Viabilidade</t>
  </si>
  <si>
    <t>Preenchimento</t>
  </si>
  <si>
    <t>Premissas padrões</t>
  </si>
  <si>
    <t>DADOS GERAIS DO EMPREENDIMENTO</t>
  </si>
  <si>
    <t xml:space="preserve">Nome do Empreendimento </t>
  </si>
  <si>
    <t>DATA MARCOS DO EMPREEMDIMENTO</t>
  </si>
  <si>
    <t>1.1.1</t>
  </si>
  <si>
    <t>Data a compra do terreno:</t>
  </si>
  <si>
    <t>1.1.2</t>
  </si>
  <si>
    <t>Emissão do Alvará de Construção:</t>
  </si>
  <si>
    <t>1.1.3</t>
  </si>
  <si>
    <t>Abertura de Vendas:</t>
  </si>
  <si>
    <t>1.1.4</t>
  </si>
  <si>
    <t xml:space="preserve">Data prevista para início das obras </t>
  </si>
  <si>
    <t>1.1.5</t>
  </si>
  <si>
    <t xml:space="preserve">Data prevista para conclusão das obras </t>
  </si>
  <si>
    <t>1.1.6</t>
  </si>
  <si>
    <t xml:space="preserve">Prazo para Registro de Incorporação (RI) ou Registro do Loteamento </t>
  </si>
  <si>
    <t>•  2 Meses</t>
  </si>
  <si>
    <t>DADOS DE MERCADO E VENDAS</t>
  </si>
  <si>
    <t>2.1</t>
  </si>
  <si>
    <t>Produto e Preço</t>
  </si>
  <si>
    <t>2.1.1</t>
  </si>
  <si>
    <t xml:space="preserve">Tipologia das unidades (Ex: Apartamento 2Q, Lote 360m²) </t>
  </si>
  <si>
    <t>2.1.2</t>
  </si>
  <si>
    <t xml:space="preserve">Quantidade total de unidades </t>
  </si>
  <si>
    <t>2.1.3</t>
  </si>
  <si>
    <t xml:space="preserve">Quantidade de unidades permutadas (físicas ou financeiras) </t>
  </si>
  <si>
    <t>2.1.4</t>
  </si>
  <si>
    <t xml:space="preserve">Quantidade de unidades caucionadas (se aplicável) </t>
  </si>
  <si>
    <t>2.1.5</t>
  </si>
  <si>
    <t xml:space="preserve">Área privativa conforme tipologias das unidades </t>
  </si>
  <si>
    <t>2.1.6</t>
  </si>
  <si>
    <t xml:space="preserve">Valor geral de vendas (VGV) total estimado </t>
  </si>
  <si>
    <t>2.1.7</t>
  </si>
  <si>
    <t xml:space="preserve">Preço médio por m2 (ou preço médio por unidade/lote) </t>
  </si>
  <si>
    <t>2.2</t>
  </si>
  <si>
    <t xml:space="preserve">Tabela de vendas detalhada </t>
  </si>
  <si>
    <t>2.2.1</t>
  </si>
  <si>
    <t xml:space="preserve">Percentual de entrada </t>
  </si>
  <si>
    <r>
      <rPr>
        <b/>
        <sz val="11"/>
        <color theme="1"/>
        <rFont val="Calibri"/>
        <family val="2"/>
        <scheme val="minor"/>
      </rPr>
      <t xml:space="preserve">ECONÔMICO: </t>
    </r>
    <r>
      <rPr>
        <sz val="11"/>
        <color theme="1"/>
        <rFont val="Calibri"/>
        <family val="2"/>
        <scheme val="minor"/>
      </rPr>
      <t xml:space="preserve">
Captação 20% (2% entrada em 3 parcelas + 18% mensais durante obra + 24 meses pro soluto). 80% repasse em 9 parcelas.
</t>
    </r>
    <r>
      <rPr>
        <b/>
        <sz val="11"/>
        <color theme="1"/>
        <rFont val="Calibri"/>
        <family val="2"/>
        <scheme val="minor"/>
      </rPr>
      <t xml:space="preserve">MÉDIO: 
</t>
    </r>
    <r>
      <rPr>
        <sz val="11"/>
        <color theme="1"/>
        <rFont val="Calibri"/>
        <family val="2"/>
        <scheme val="minor"/>
      </rPr>
      <t xml:space="preserve">Captação 25% (8% entrada em 3 parcelas + 12% mensais durante obra + 5% anuais). 75% repasse em 9 parcelas.
</t>
    </r>
    <r>
      <rPr>
        <b/>
        <sz val="11"/>
        <color theme="1"/>
        <rFont val="Calibri"/>
        <family val="2"/>
        <scheme val="minor"/>
      </rPr>
      <t>MÉDIO ALTO:</t>
    </r>
    <r>
      <rPr>
        <sz val="11"/>
        <color theme="1"/>
        <rFont val="Calibri"/>
        <family val="2"/>
        <scheme val="minor"/>
      </rPr>
      <t xml:space="preserve">
Captação 30% (10% entrada em 3 parcelas + 15% mensais durante obra + 5% anuais). 70% repasse em 9 parcelas.
</t>
    </r>
    <r>
      <rPr>
        <b/>
        <sz val="11"/>
        <color theme="1"/>
        <rFont val="Calibri"/>
        <family val="2"/>
        <scheme val="minor"/>
      </rPr>
      <t>ALTO PADRÃO</t>
    </r>
    <r>
      <rPr>
        <sz val="11"/>
        <color theme="1"/>
        <rFont val="Calibri"/>
        <family val="2"/>
        <scheme val="minor"/>
      </rPr>
      <t>: 
Captação 40% (10% entrada em 3 parcelas + 25% mensais durante obra + 5% anuais). 60% repasse em 9 parcelas.</t>
    </r>
  </si>
  <si>
    <t>2.2.2</t>
  </si>
  <si>
    <t xml:space="preserve">Número de parcelas (mensais, anuais, intermediárias, chaves) </t>
  </si>
  <si>
    <t>2.2.3</t>
  </si>
  <si>
    <t xml:space="preserve">Taxas de juros (pré e pós-chaves/entrega) </t>
  </si>
  <si>
    <t>•  Pré chaves: INCC
•  Pós chave: IGPM</t>
  </si>
  <si>
    <t>2.2.4</t>
  </si>
  <si>
    <t xml:space="preserve">Indexadores de correção (Ex: INCC, IPCA, IGP-M) e periodicidade de aplicação </t>
  </si>
  <si>
    <t>•  INCC e IGPM</t>
  </si>
  <si>
    <t>2.2.5</t>
  </si>
  <si>
    <t xml:space="preserve">Condições especiais para diferentes tipos de unidades (se houver) </t>
  </si>
  <si>
    <t>2.3</t>
  </si>
  <si>
    <t>Performance de Vendas</t>
  </si>
  <si>
    <t>2.3.1</t>
  </si>
  <si>
    <t xml:space="preserve">Curva de vendas projetada (velocidade de vendas mensal/VSO) </t>
  </si>
  <si>
    <r>
      <t xml:space="preserve">•  Mais Pessimista (36 meses): </t>
    </r>
    <r>
      <rPr>
        <sz val="11"/>
        <color theme="1"/>
        <rFont val="Calibri"/>
        <family val="2"/>
        <scheme val="minor"/>
      </rPr>
      <t>20% lançamento, 60% obra, 20% pós obra.
•  Pessimista (24 meses): 25% lançamento, 60% obra, 15% pós obra.
•  Base (18 meses): 30% lançamento, 60% obra, 10% pós obra.
•  Otimista (12 meses): 30% lançamento, 65% obra, 5% pós obra.
•  Mais Otimista (6 meses): 50% lançamento, 50% obra, 0% pós obra.</t>
    </r>
  </si>
  <si>
    <t>2.3.2</t>
  </si>
  <si>
    <t xml:space="preserve">Percentual de vendas para início das obras (se houver gatilho para financiamento) </t>
  </si>
  <si>
    <t>2.4</t>
  </si>
  <si>
    <t>Concorrência</t>
  </si>
  <si>
    <t>2.4.1</t>
  </si>
  <si>
    <t xml:space="preserve">Principais concorrentes </t>
  </si>
  <si>
    <t>2.4.2</t>
  </si>
  <si>
    <t xml:space="preserve">Características e preços dos concorrentes </t>
  </si>
  <si>
    <t>3</t>
  </si>
  <si>
    <t>DADOS DO TERRENO</t>
  </si>
  <si>
    <t>3.1</t>
  </si>
  <si>
    <t>Forma de Aquisição</t>
  </si>
  <si>
    <t>3.2</t>
  </si>
  <si>
    <t>Aquisição Direta</t>
  </si>
  <si>
    <t>3.2.1</t>
  </si>
  <si>
    <t xml:space="preserve">Curva de desembolso do pagamento do terreno </t>
  </si>
  <si>
    <t>•  100% gasto nos 6 primeiros meses após a compra do terreno
•  IPTU: 0,5% a 1,5% aa do valor venal ou aquisição.
•  ITBI + Registro: 3% a 4% sobre permutas.
•  Permuta financeira: Descontar despesas comerciais e fiscais.
•  Seguro garantia: 1,5% a 2,5% a.a. do saldo devedor.</t>
  </si>
  <si>
    <t>3.2.2</t>
  </si>
  <si>
    <t xml:space="preserve">Custos de transação (ITBI, escritura, registro) </t>
  </si>
  <si>
    <t>3.3</t>
  </si>
  <si>
    <t xml:space="preserve">Permuta Física </t>
  </si>
  <si>
    <t>3.3.1</t>
  </si>
  <si>
    <t>Número ou percentual de unidades a serem permutadas</t>
  </si>
  <si>
    <t>3.3.2</t>
  </si>
  <si>
    <t xml:space="preserve">Especificação das unidades permutadas (se já definidas) </t>
  </si>
  <si>
    <t>3.3.3</t>
  </si>
  <si>
    <t>Responsabilidade por custos e despesas das unidades permutadas</t>
  </si>
  <si>
    <t>3.4</t>
  </si>
  <si>
    <t xml:space="preserve">Permuta Financeira </t>
  </si>
  <si>
    <t>3.4.1</t>
  </si>
  <si>
    <t xml:space="preserve">Percentual do VGV ou da receita a ser permutado </t>
  </si>
  <si>
    <t>3.4.2</t>
  </si>
  <si>
    <t>Condições detalhadas sobre custos e despesas dedutíveis para cálculo da permuta</t>
  </si>
  <si>
    <t>3.4.3</t>
  </si>
  <si>
    <t xml:space="preserve">Momentos de pagamento da permuta financeira </t>
  </si>
  <si>
    <t>4</t>
  </si>
  <si>
    <t>DADOS DE PROJETOS, APROVAÇÕES E LEGALIZAÇÃO</t>
  </si>
  <si>
    <t>4.1</t>
  </si>
  <si>
    <t>Custos Estimados</t>
  </si>
  <si>
    <t>4.1.1</t>
  </si>
  <si>
    <t xml:space="preserve">Custo total estimado para projetos (arquitetônico, estrutural, instalações, etc.) </t>
  </si>
  <si>
    <r>
      <rPr>
        <b/>
        <sz val="11"/>
        <color theme="1"/>
        <rFont val="Calibri"/>
        <family val="2"/>
        <scheme val="minor"/>
      </rPr>
      <t>1ª Opção</t>
    </r>
    <r>
      <rPr>
        <sz val="11"/>
        <color theme="1"/>
        <rFont val="Calibri"/>
        <family val="2"/>
        <scheme val="minor"/>
      </rPr>
      <t xml:space="preserve">
•  Projeto de Arquitetura     -     Sugestão R$ 10 / m² de área construída.
•  Projeto de Interiores     -     Sugestão R$ 30 mil para terrenos de 2.000 m².
•  Projeto de Paisagismo     -     Sugestão R$ 25 mil para terrenos de 2.000 m².
•  Projeto de Incêndio     -     Sugestão R$ 10 mil para terrenos de 2.000 m².
•  Outros projetos     -     Sugestão R$ 30 mil para terrenos de 2.000 m².
•  Aprovação de Projeto     -     Sugestão R$ 10 mil para terrenos de 2.000 m².
•  Despesas Cartorárias     -     Sugestão R$ 15 mil para terrenos de 2.000 m².
•  Registro de Incorporação     -     Sugestão R$ 15 mil para terrenos de 2.000 m².
•  Marketing de relacionamento com cliente     -     0,1% do VGV
•  Pesquisa de Mercado     -     Sugestão R$ 30 a 50 mil, dependendo da quantidade de tipologias.
•  Convenção de Condomínio     -     Sugestão R$ 15 mil para terrenos de 2.000 m².
•  Custos de Sociedade     -     R$ 10 mil da compra do terreno até a entrega.
•  Averbação da construção     -     Conforme legalização local.
•  Infraestrutura     -     Conforme legalização local e AVTOs
•  Licença Ambiental     -     Conforme legalização local. Sugestão R$ 1,5 mil por unidade
•  EIV / EIT     -     Se atentar principalmente a comerciais e flats. Conforme legalização local
•  Vistoria de entrega     -     R$ 150 por unidade.
•  Evento de entrega     -     Sugestão R$ 50 mil para terrenos de 2.000 m².
•  Monitoramento de obras     -     R$ 7,5 mil por mês de obra
•  Outros     -     Conforme negociação
•</t>
    </r>
    <r>
      <rPr>
        <b/>
        <sz val="11"/>
        <color theme="1"/>
        <rFont val="Calibri"/>
        <family val="2"/>
        <scheme val="minor"/>
      </rPr>
      <t xml:space="preserve">  TOTAL     -     Valor total não pode ser inferior a 1,8% do VGV, retirando custos de infraestrutura e contrapartidas específicas
2ª Opção</t>
    </r>
    <r>
      <rPr>
        <sz val="11"/>
        <color theme="1"/>
        <rFont val="Calibri"/>
        <family val="2"/>
        <scheme val="minor"/>
      </rPr>
      <t xml:space="preserve">
•  Custo estimado para projetos: 1% a 2% do VGV
•  Custo total estimado para aprovações e licenças: 0,5% a 1% do VGV (sem Outorga e TDC)
OBS.:  Outorga + TDC (ESTIMADO EM 0,5% a 1% do VGV)
•  Curva de desembolso dos custos de projetos e aprovações: Usar base das operações existentes para prever uma curva base sugerida.</t>
    </r>
  </si>
  <si>
    <t>4.1.2</t>
  </si>
  <si>
    <t xml:space="preserve">Custo total estimado para aprovações e licenças (taxas municipais, estaduais, etc.) </t>
  </si>
  <si>
    <t>4.1.3</t>
  </si>
  <si>
    <t xml:space="preserve">Curva de desembolso dos custos de projetos e aprovações </t>
  </si>
  <si>
    <t>5</t>
  </si>
  <si>
    <t>DADOS DE OBRA (CONSTRUÇÃO/URBANISMO)</t>
  </si>
  <si>
    <t>5.1</t>
  </si>
  <si>
    <t>Custos de Obra</t>
  </si>
  <si>
    <t>5.1.1</t>
  </si>
  <si>
    <t xml:space="preserve">Custo global de obra estimado (especificar se inclui BDI ou não) </t>
  </si>
  <si>
    <t>5.1.2</t>
  </si>
  <si>
    <t xml:space="preserve">Custo por m2 de área construída ou custo por m2 de área urbanizada/lote </t>
  </si>
  <si>
    <t>5.1.3</t>
  </si>
  <si>
    <t xml:space="preserve">Referência do custo (CUB, orçamento detalhado preliminar, estimativa paramétrica) </t>
  </si>
  <si>
    <t>5.1.4</t>
  </si>
  <si>
    <t xml:space="preserve">Necessidade de obras de infraestrutura externa (redes de água, esgoto, energia, etc.) e seus custos </t>
  </si>
  <si>
    <t>5.2</t>
  </si>
  <si>
    <t>Prazos e Cronograma</t>
  </si>
  <si>
    <t>5.2.1</t>
  </si>
  <si>
    <t xml:space="preserve">Prazo total de obra estimado (em meses) </t>
  </si>
  <si>
    <r>
      <rPr>
        <b/>
        <sz val="11"/>
        <color rgb="FF000000"/>
        <rFont val="Aptos"/>
        <family val="2"/>
      </rPr>
      <t>1ª Opção:</t>
    </r>
    <r>
      <rPr>
        <sz val="11"/>
        <color rgb="FF000000"/>
        <rFont val="Aptos"/>
        <family val="2"/>
      </rPr>
      <t xml:space="preserve">
•	  Obras padrões (vertical com estrutura convencional):
•	  +6 a 8 meses de fundação
•	  3 lajes por mês (até 600m² por laje)
•	  +12 a 18 meses de acabamento
•	  +3 meses para finalização (ligações finais, acabamentos finais)
•	  Número de pavimentos tipo X 1 mês + 1 a 2 meses por pavimento de área comum + 12 meses de acabamento
</t>
    </r>
    <r>
      <rPr>
        <b/>
        <sz val="11"/>
        <color rgb="FF000000"/>
        <rFont val="Aptos"/>
        <family val="2"/>
      </rPr>
      <t>2ª Opção:</t>
    </r>
    <r>
      <rPr>
        <sz val="11"/>
        <color rgb="FF000000"/>
        <rFont val="Aptos"/>
        <family val="2"/>
      </rPr>
      <t xml:space="preserve">
•  Vertical 1 torre (até 30 pav): 36 meses(lançamento + 6 meses + 30 de obra);
•  Vertical 2 torre (exemplo: até 20 pav): 48 meses(lançamento + 6 meses + 34 de obra);
•   É preciso buscar uma premissa para condomínio horizontal de casas;</t>
    </r>
  </si>
  <si>
    <t>5.2.4</t>
  </si>
  <si>
    <t xml:space="preserve">Cronograma físico-financeiro preliminar (curva de desembolso da obra) </t>
  </si>
  <si>
    <t>•  Curva de obras: padrão S, prazos entre 9 e 42 meses.</t>
  </si>
  <si>
    <t>5.3</t>
  </si>
  <si>
    <t>Regime de Construção</t>
  </si>
  <si>
    <t>5.3.1</t>
  </si>
  <si>
    <t xml:space="preserve">Empreitada Global </t>
  </si>
  <si>
    <t>•	  Taxa de administração: conforme modelo de contratação PMG ou ADM sobre custo raso 
•	  Referências: 8% à 15% a depender do tamanho da obra (quanto maior o custo, menor o BDI), do modelo de contratação (se ADM menor, se PMG maior) e relação societária com a construtora (se construtora interna, menor, se construtora externa, maior.
•	  O custo de obras deve variar de acordo com região, método construtivo, complexidade e padrão construtivo.</t>
  </si>
  <si>
    <t>5.3.2</t>
  </si>
  <si>
    <t xml:space="preserve">Empreitada por Preço Unitário </t>
  </si>
  <si>
    <t>5.3.3</t>
  </si>
  <si>
    <t xml:space="preserve">Administração </t>
  </si>
  <si>
    <t>6</t>
  </si>
  <si>
    <t>DESPESAS OPERACIONAIS E IMPOSTOS</t>
  </si>
  <si>
    <t>6.1</t>
  </si>
  <si>
    <t>Comercialização e Marketing</t>
  </si>
  <si>
    <t>•	  Curva de desembolso: conforme velocidade de vendas (M+1)</t>
  </si>
  <si>
    <t>6.1.1</t>
  </si>
  <si>
    <t>Comissão de vendas (percentual sobre VGV e forma de pagamento)</t>
  </si>
  <si>
    <t>•	  Comissão: 5% sobre VGV (avaliar condições mercadológicas locais)</t>
  </si>
  <si>
    <t>6.1.1.1</t>
  </si>
  <si>
    <t>Coordenação Comercial (% do VGV e Forma de Pagamento)</t>
  </si>
  <si>
    <t>•  0,5% Profissional contratado pela SPE
•	  Coordenação: 1% à 1,5% (avaliar se coordenação interna ou PJ e se envolve coordenação de marketing)</t>
  </si>
  <si>
    <t>6.1.1.2</t>
  </si>
  <si>
    <t>Premiações ((% do VGV e Forma de Pagamento)</t>
  </si>
  <si>
    <t>•	  Premiação: 0,5% (de acordo com performance de vendas)</t>
  </si>
  <si>
    <t>6.1.1.3</t>
  </si>
  <si>
    <t>Inadimplência e distratos</t>
  </si>
  <si>
    <t>•	  Inadimplência: 1%
•	  Distratos: - 
•	  Meses de recuperação: 0</t>
  </si>
  <si>
    <t>6.1.2</t>
  </si>
  <si>
    <t xml:space="preserve">Despesas de Marketing e Publicidade (percentual sobre VGV ou valor fixo, e curva de desembolso) </t>
  </si>
  <si>
    <r>
      <t xml:space="preserve">MARKETING + STAND: 2% A 5%
Valor do VGV
•	  2% para projetos com casas modelos ou stands compartilhados
•	  2,5% para econômicos &gt; 120Mi VGV
•	  3% para econômicos &lt; 120Mi VGV
•	  3% para médio/médio alto &gt; 120Mi VGV
•	  4% para médio/médio alto &lt; 120Mi VGV
•	  4% para altíssimo &gt; 120Mi VGV
•  5% para altíssimo &lt; 120Mi VGV
Curva de Desembolso:
•	</t>
    </r>
    <r>
      <rPr>
        <b/>
        <sz val="11"/>
        <color theme="1"/>
        <rFont val="Calibri"/>
        <family val="2"/>
        <scheme val="minor"/>
      </rPr>
      <t xml:space="preserve">  Altíssimo padrão</t>
    </r>
    <r>
      <rPr>
        <sz val="11"/>
        <color theme="1"/>
        <rFont val="Calibri"/>
        <family val="2"/>
        <scheme val="minor"/>
      </rPr>
      <t xml:space="preserve">
30% em 3 meses (antes do lançamento)
30% em 6 meses (lançamento)
25% durante obras
15% em 12 meses pós obras 
•	  </t>
    </r>
    <r>
      <rPr>
        <b/>
        <sz val="11"/>
        <color theme="1"/>
        <rFont val="Calibri"/>
        <family val="2"/>
        <scheme val="minor"/>
      </rPr>
      <t>Médio/Alto padrão</t>
    </r>
    <r>
      <rPr>
        <sz val="11"/>
        <color theme="1"/>
        <rFont val="Calibri"/>
        <family val="2"/>
        <scheme val="minor"/>
      </rPr>
      <t xml:space="preserve">
50% em 3 meses (antes do lançamento)
20% em 6 meses (lançamento)
25% durante obras
5% em 12 meses pós obras 
•	  </t>
    </r>
    <r>
      <rPr>
        <b/>
        <sz val="11"/>
        <color theme="1"/>
        <rFont val="Calibri"/>
        <family val="2"/>
        <scheme val="minor"/>
      </rPr>
      <t>Econômico</t>
    </r>
    <r>
      <rPr>
        <sz val="11"/>
        <color theme="1"/>
        <rFont val="Calibri"/>
        <family val="2"/>
        <scheme val="minor"/>
      </rPr>
      <t xml:space="preserve">
60% em 3 meses (antes do lançamento)
20% em 6 meses (lançamento)
20% durante obras</t>
    </r>
  </si>
  <si>
    <t>6.2</t>
  </si>
  <si>
    <t>Administrativas e Gerais</t>
  </si>
  <si>
    <r>
      <rPr>
        <b/>
        <sz val="11"/>
        <color theme="1"/>
        <rFont val="Calibri"/>
        <family val="2"/>
        <scheme val="minor"/>
      </rPr>
      <t xml:space="preserve">Regra geral- entre 3,5% a 5,5% do VGV
</t>
    </r>
    <r>
      <rPr>
        <sz val="11"/>
        <color theme="1"/>
        <rFont val="Calibri"/>
        <family val="2"/>
        <scheme val="minor"/>
      </rPr>
      <t xml:space="preserve">
ITENS INCLUSOS COMO DESPESAS ADMINISTRATIVAS
•	  GESTÃO FINANCEIRA, CONTAS A PAGAR E CONTAS A RECEBER, CONCILIAÇÃO
•	  CONTABILIDADE
•	  SISTEMAS
•	  GESTÃO DE RECEBÍVEIS (COBRANÇA, RELACIONAMENTO COM O CLIENTE, MANUTENÇÃO TÉCNICA)
•	  MONITORAMENTO DE VIABILIDADE
•	  JURÍDICO (CONTENCIOSO, IMOBILIÁRIO)
•	  DESENVOLVIMENTO DE PRODUTO
•	  COORDENAÇÃO DE PROJETOS
•	  PLANEJAMENTO E ORÇAMENTO DE OBRAS
•	  NOVOS NEGÓCIOS
</t>
    </r>
    <r>
      <rPr>
        <b/>
        <sz val="11"/>
        <color theme="1"/>
        <rFont val="Calibri"/>
        <family val="2"/>
        <scheme val="minor"/>
      </rPr>
      <t>DESENVOLVIMENTO DE PRODUTO:</t>
    </r>
    <r>
      <rPr>
        <sz val="11"/>
        <color theme="1"/>
        <rFont val="Calibri"/>
        <family val="2"/>
        <scheme val="minor"/>
      </rPr>
      <t xml:space="preserve">
0,5% do VGV em 36 meses 
</t>
    </r>
    <r>
      <rPr>
        <b/>
        <sz val="11"/>
        <color theme="1"/>
        <rFont val="Calibri"/>
        <family val="2"/>
        <scheme val="minor"/>
      </rPr>
      <t>PRÉ OPERACIONAL:</t>
    </r>
    <r>
      <rPr>
        <sz val="11"/>
        <color theme="1"/>
        <rFont val="Calibri"/>
        <family val="2"/>
        <scheme val="minor"/>
      </rPr>
      <t xml:space="preserve">
Despesas de gestão interna: R$5.000,00/mês
Taxa de gestão interna: 1,25%
Despesas de gestão externa: -
</t>
    </r>
    <r>
      <rPr>
        <b/>
        <sz val="11"/>
        <color theme="1"/>
        <rFont val="Calibri"/>
        <family val="2"/>
        <scheme val="minor"/>
      </rPr>
      <t>OPERACIONAL:</t>
    </r>
    <r>
      <rPr>
        <sz val="11"/>
        <color theme="1"/>
        <rFont val="Calibri"/>
        <family val="2"/>
        <scheme val="minor"/>
      </rPr>
      <t xml:space="preserve">
Despesas de gestão interna: -
Despesas de gestão externa: -
Taxa de gestão externa: 2%
</t>
    </r>
    <r>
      <rPr>
        <b/>
        <sz val="11"/>
        <color theme="1"/>
        <rFont val="Calibri"/>
        <family val="2"/>
        <scheme val="minor"/>
      </rPr>
      <t>PÓS OPERACIONAL:</t>
    </r>
    <r>
      <rPr>
        <sz val="11"/>
        <color theme="1"/>
        <rFont val="Calibri"/>
        <family val="2"/>
        <scheme val="minor"/>
      </rPr>
      <t xml:space="preserve">
Taxa de gestão interna: 1,25%
Taxa de gestão externa: 2%
Despesas de gestão interna: -
Despesas de gestão externa: -
</t>
    </r>
    <r>
      <rPr>
        <b/>
        <sz val="11"/>
        <color theme="1"/>
        <rFont val="Calibri"/>
        <family val="2"/>
        <scheme val="minor"/>
      </rPr>
      <t>CONTABILIDADE</t>
    </r>
    <r>
      <rPr>
        <sz val="11"/>
        <color theme="1"/>
        <rFont val="Calibri"/>
        <family val="2"/>
        <scheme val="minor"/>
      </rPr>
      <t xml:space="preserve">
•	    Pré Operacional: R$620/mês
•	    Operacional: R$2.387/mês
•	    Pós Operacional: R$1.320/mês
</t>
    </r>
    <r>
      <rPr>
        <b/>
        <sz val="11"/>
        <color theme="1"/>
        <rFont val="Calibri"/>
        <family val="2"/>
        <scheme val="minor"/>
      </rPr>
      <t>AUDITORIA</t>
    </r>
    <r>
      <rPr>
        <sz val="11"/>
        <color theme="1"/>
        <rFont val="Calibri"/>
        <family val="2"/>
        <scheme val="minor"/>
      </rPr>
      <t xml:space="preserve">
•	  Pré Operacional: R$462,46 /mês
•	  Operacional: R$1.849,85 /mês
•	  Pós Operacional: R$1.057,06 /mês
</t>
    </r>
    <r>
      <rPr>
        <b/>
        <sz val="11"/>
        <color theme="1"/>
        <rFont val="Calibri"/>
        <family val="2"/>
        <scheme val="minor"/>
      </rPr>
      <t>VIAGEM</t>
    </r>
    <r>
      <rPr>
        <sz val="11"/>
        <color theme="1"/>
        <rFont val="Calibri"/>
        <family val="2"/>
        <scheme val="minor"/>
      </rPr>
      <t xml:space="preserve">
•	  Pré Operacional: 3 passagens de 3 em 3 meses
•	  Operacional: 3 passagens de 2 em 2 meses
•	  Pós Operacional: 3 passagens de 6 em 6 meses
</t>
    </r>
    <r>
      <rPr>
        <b/>
        <sz val="11"/>
        <color theme="1"/>
        <rFont val="Calibri"/>
        <family val="2"/>
        <scheme val="minor"/>
      </rPr>
      <t>TAXAS E DESPESAS</t>
    </r>
    <r>
      <rPr>
        <sz val="11"/>
        <color theme="1"/>
        <rFont val="Calibri"/>
        <family val="2"/>
        <scheme val="minor"/>
      </rPr>
      <t xml:space="preserve">
•  Taxas e tributos sobre VGV em estoque: 1%
•  Despesas de Condomínio de estoque: R$400 (econômico) à R$1500/mês (altíssimo) de acordo com padrão do empreendimento
•  Despesas bancárias sobre recebíveis: 0,2%
</t>
    </r>
    <r>
      <rPr>
        <b/>
        <sz val="11"/>
        <color theme="1"/>
        <rFont val="Calibri"/>
        <family val="2"/>
        <scheme val="minor"/>
      </rPr>
      <t>MOBILIÁRIO</t>
    </r>
    <r>
      <rPr>
        <sz val="11"/>
        <color theme="1"/>
        <rFont val="Calibri"/>
        <family val="2"/>
        <scheme val="minor"/>
      </rPr>
      <t xml:space="preserve">
•	  Econômico 0,35% VGV até 100MM, 0,3% acima. 
•	  Médio/Alto: 0,5% até 100MM, 0,4% acima.</t>
    </r>
  </si>
  <si>
    <t>6.2.1</t>
  </si>
  <si>
    <t xml:space="preserve">Taxa de gestão do empreendimento (se houver) </t>
  </si>
  <si>
    <t>6.2.2</t>
  </si>
  <si>
    <t xml:space="preserve">Despesas de cartório e emolumentos (para individualização, registro de vendas, etc.) </t>
  </si>
  <si>
    <t>6.2.3</t>
  </si>
  <si>
    <t xml:space="preserve">Seguros (obra, responsabilidade civil, garantia de entrega, etc.) </t>
  </si>
  <si>
    <t>6.2.4</t>
  </si>
  <si>
    <t xml:space="preserve">Despesas pré-operacionais (constituição da SPE, registros iniciais) </t>
  </si>
  <si>
    <t>6.2.5</t>
  </si>
  <si>
    <t xml:space="preserve">Custos de decoração de áreas comuns e unidade modelo (se aplicável) </t>
  </si>
  <si>
    <t>6.3</t>
  </si>
  <si>
    <t>Tributação da SPE</t>
  </si>
  <si>
    <t>•	  RET: 4% sobre receita
•	  Levar em consideração se empreendedor tem patrimônio de afetação (rito técnico e jurídico)
•	  Caso não tenha, considerar lucro presumido (6,73% sobre receita)
•	  Reavaliar condições de acordo com nova reforma tributária</t>
  </si>
  <si>
    <t>6.3.1</t>
  </si>
  <si>
    <t>Regime tributário pretendido para a SPE (Lucro Presumido, RET, etc.)</t>
  </si>
  <si>
    <t>6.3.2</t>
  </si>
  <si>
    <t xml:space="preserve">Alíquotas de impostos sobre a receita (PIS, COFINS, IRPJ, CSLL, ISS - se aplicável) </t>
  </si>
  <si>
    <t>6.3.3</t>
  </si>
  <si>
    <t xml:space="preserve">Outras taxas específicas do município ou estado </t>
  </si>
  <si>
    <t>7</t>
  </si>
  <si>
    <t>ESTRUTURA DE CAPITAL E FINANCIAMENTO</t>
  </si>
  <si>
    <t>7.1</t>
  </si>
  <si>
    <t xml:space="preserve">Financiamento à Produção (SFH, Pró-Cotista, etc.) </t>
  </si>
  <si>
    <r>
      <rPr>
        <b/>
        <sz val="11"/>
        <color theme="1"/>
        <rFont val="Calibri"/>
        <family val="2"/>
        <scheme val="minor"/>
      </rPr>
      <t>Produção</t>
    </r>
    <r>
      <rPr>
        <sz val="11"/>
        <color theme="1"/>
        <rFont val="Calibri"/>
        <family val="2"/>
        <scheme val="minor"/>
      </rPr>
      <t xml:space="preserve">
•	  Forma de liberação: Proporcional a necessidade de caixa de obra
•	  Indexador: INCC
•	  Taxa de Juros: CDI + 2% a.a.
•	  % de obras financiada: 70%
•	  % de obras Gatilho: 30%
•	  % de vendas gatilho: 40%
•	  Amortização: 6 meses após a obra. 
Durante a obra paga-se apenas juros e despesas operacionais
•	  Seguro de Obra: 1% do custo raso de obra</t>
    </r>
  </si>
  <si>
    <t>7.1.1</t>
  </si>
  <si>
    <t xml:space="preserve">Valor ou percentual do custo da obra a ser financiado </t>
  </si>
  <si>
    <t>7.1.2</t>
  </si>
  <si>
    <t xml:space="preserve">Taxa de juros anual (% a.a.) </t>
  </si>
  <si>
    <t>7.1.3</t>
  </si>
  <si>
    <t xml:space="preserve">Indexador de correção </t>
  </si>
  <si>
    <t>7.1.4</t>
  </si>
  <si>
    <t xml:space="preserve">Prazo de carência (meses) </t>
  </si>
  <si>
    <t>7.1.5</t>
  </si>
  <si>
    <t xml:space="preserve">Prazo de amortização (meses) </t>
  </si>
  <si>
    <t>7.1.6</t>
  </si>
  <si>
    <t xml:space="preserve">Sistema de amortização (SAC, Price, etc.) </t>
  </si>
  <si>
    <t>7.1.7</t>
  </si>
  <si>
    <t xml:space="preserve">Garantias exigidas </t>
  </si>
  <si>
    <t>7.1.8</t>
  </si>
  <si>
    <t xml:space="preserve">Custos da operação (taxas bancárias, seguros obrigatórios, avaliação, etc.) </t>
  </si>
  <si>
    <t>7.1.9</t>
  </si>
  <si>
    <t xml:space="preserve">Gatilhos para liberação de recursos (ex: % de vendas, % de obra executada) </t>
  </si>
  <si>
    <t>7.2</t>
  </si>
  <si>
    <t xml:space="preserve">Emissão de CRI (Certificado de Recebíveis Imobiliários) </t>
  </si>
  <si>
    <r>
      <rPr>
        <b/>
        <sz val="11"/>
        <color theme="1"/>
        <rFont val="Calibri"/>
        <family val="2"/>
        <scheme val="minor"/>
      </rPr>
      <t>CRI</t>
    </r>
    <r>
      <rPr>
        <sz val="11"/>
        <color theme="1"/>
        <rFont val="Calibri"/>
        <family val="2"/>
        <scheme val="minor"/>
      </rPr>
      <t xml:space="preserve">
•	  Taxa: entre CDI + 4% e 6% a.a. ou  IPCA + 13% à 15% a.a.
•	  Indexador: IPCA ou CDI
•	  Gatilhos: 20% Obra e 30% a 40% vendas
•	  Volume: remanescente de obra + despesas da operação
•	  Despesas da operação: entre 2,5% à 5% do volume da emissão; 
85% na cabeça
15% (linear) durante a operação
•	  Exige seguro de obra, mas pode ser contratado em seguradoras externas
•	  Juros: mensal
•	  Amortização: Pode ser mensal ou 'bullet' (após a obra, com o desligamento bancário)
•	  Despesas mensais: Entre 15 e 20mil/mês (todos os players estão aqui, securitizadora, agende de medição, monitoramento de carteira, agente fiduciário...) </t>
    </r>
  </si>
  <si>
    <t>7.2.1</t>
  </si>
  <si>
    <t xml:space="preserve">Volume da emissão (R$) </t>
  </si>
  <si>
    <t>7.2.2</t>
  </si>
  <si>
    <t xml:space="preserve">Taxa de juros alvo (% a.a. + indexador) </t>
  </si>
  <si>
    <t>7.2.3</t>
  </si>
  <si>
    <t xml:space="preserve">Indexador (IPCA, CDI, etc.) </t>
  </si>
  <si>
    <t>7.2.4</t>
  </si>
  <si>
    <t xml:space="preserve">Prazo da operação (meses/anos) </t>
  </si>
  <si>
    <t>7.2.5</t>
  </si>
  <si>
    <t xml:space="preserve">Estrutura de garantias </t>
  </si>
  <si>
    <t>7.2.6</t>
  </si>
  <si>
    <t xml:space="preserve">Custos da emissão (estruturação, rating, distribuição, legal, etc.) </t>
  </si>
  <si>
    <t>7.2.7</t>
  </si>
  <si>
    <t>Data prevista para emissão</t>
  </si>
  <si>
    <t>7.3</t>
  </si>
  <si>
    <t xml:space="preserve">Outras fontes (Ex: Fundos de Investimento, Empréstimos de Sócios, etc.) </t>
  </si>
  <si>
    <t>7.3.1</t>
  </si>
  <si>
    <t xml:space="preserve">Condições específicas (valor, taxa, prazo, garantias) </t>
  </si>
  <si>
    <t>7.3.2</t>
  </si>
  <si>
    <t>Capital Próprio</t>
  </si>
  <si>
    <t>7.3.3</t>
  </si>
  <si>
    <t xml:space="preserve">Aportes previstos dos sócios (valores e datas) </t>
  </si>
  <si>
    <t>8</t>
  </si>
  <si>
    <t>QUADRO SOCIETÁRIO DA SPE</t>
  </si>
  <si>
    <t>8.1</t>
  </si>
  <si>
    <t xml:space="preserve">Estrutura societária da SPE (Percentual de participação de cada sócio) </t>
  </si>
  <si>
    <t>8.2</t>
  </si>
  <si>
    <t>Haverá SCP / Investidores?</t>
  </si>
  <si>
    <t>8.3</t>
  </si>
  <si>
    <t xml:space="preserve">Valores de cash in ou cash out previstos para cada sócio e em que momento </t>
  </si>
  <si>
    <t>8.4</t>
  </si>
  <si>
    <t xml:space="preserve">Principais cláusulas do acordo de sócios que impactam o fluxo de caixa </t>
  </si>
  <si>
    <t>9</t>
  </si>
  <si>
    <t>INFORMAÇÕES DO INCORRIDO</t>
  </si>
  <si>
    <t>9.1</t>
  </si>
  <si>
    <t>Relatório de contas pagas desde o início da SPE (apropriado de acordo com uma EAP)</t>
  </si>
  <si>
    <t>9.2</t>
  </si>
  <si>
    <t>Relatório de contas recebidas desde o início da SPE (Vendas, Aportes, Financiamentos, etc)</t>
  </si>
  <si>
    <t>9.3</t>
  </si>
  <si>
    <t>Extratos Bancários</t>
  </si>
  <si>
    <t>9.4</t>
  </si>
  <si>
    <t>Relatório de Vendas e Contas a receber (caso tenha o serviço de monitoramento da NEO, não tem necessidade desses relatórios)</t>
  </si>
  <si>
    <t>1.2</t>
  </si>
  <si>
    <t>Prazos Estimados</t>
  </si>
  <si>
    <t>1.2.5</t>
  </si>
  <si>
    <t>•  4 Meses</t>
  </si>
  <si>
    <r>
      <rPr>
        <b/>
        <sz val="11"/>
        <color theme="1"/>
        <rFont val="Calibri"/>
        <family val="2"/>
        <scheme val="minor"/>
      </rPr>
      <t xml:space="preserve">ECONÔMICO: </t>
    </r>
    <r>
      <rPr>
        <sz val="11"/>
        <color theme="1"/>
        <rFont val="Calibri"/>
        <family val="2"/>
        <scheme val="minor"/>
      </rPr>
      <t xml:space="preserve">
Captação 8% entrada em 6 parcelas. 92% repasse em 240 parcelas
</t>
    </r>
    <r>
      <rPr>
        <b/>
        <sz val="11"/>
        <color theme="1"/>
        <rFont val="Calibri"/>
        <family val="2"/>
        <scheme val="minor"/>
      </rPr>
      <t xml:space="preserve">MÉDIO: 
</t>
    </r>
    <r>
      <rPr>
        <sz val="11"/>
        <color theme="1"/>
        <rFont val="Calibri"/>
        <family val="2"/>
        <scheme val="minor"/>
      </rPr>
      <t xml:space="preserve">Captação 10% entrada em 4 parcelas. 90% repasse em 180 parcelas.
</t>
    </r>
    <r>
      <rPr>
        <b/>
        <sz val="11"/>
        <color theme="1"/>
        <rFont val="Calibri"/>
        <family val="2"/>
        <scheme val="minor"/>
      </rPr>
      <t>MÉDIO ALTO:</t>
    </r>
    <r>
      <rPr>
        <sz val="11"/>
        <color theme="1"/>
        <rFont val="Calibri"/>
        <family val="2"/>
        <scheme val="minor"/>
      </rPr>
      <t xml:space="preserve">
Captação 10% entrada em 3 parcelas. 90% repasse em 120 parcelas.
</t>
    </r>
    <r>
      <rPr>
        <b/>
        <sz val="11"/>
        <color theme="1"/>
        <rFont val="Calibri"/>
        <family val="2"/>
        <scheme val="minor"/>
      </rPr>
      <t>ALTO PADRÃO</t>
    </r>
    <r>
      <rPr>
        <sz val="11"/>
        <color theme="1"/>
        <rFont val="Calibri"/>
        <family val="2"/>
        <scheme val="minor"/>
      </rPr>
      <t>: 
Captação 10% entrada em 1 parcela. 90% repasse em 72 parcelas.</t>
    </r>
  </si>
  <si>
    <t>•  IPCA (Consultar práticas da região para o tipo do empreendimento).</t>
  </si>
  <si>
    <t>•  IPCA</t>
  </si>
  <si>
    <t>•	  Mais Pessimista (90 meses): 30% lançamento, 50% obra, 20% pós obra.
•	  Pessimista (60 meses): 30% lançamento, 55% obra, 15% pós obra.
•	  Base (40 meses): 30% lançamento, 60% obra, 10% pós obra.
•	  Otimista (24 meses): 30% lançamento, 65% obra, 5% pós obra.
•	  Mais Otimista (12 meses): 50% lançamento, 50% obra, 0% pós obra.</t>
  </si>
  <si>
    <t>•  100% gasto nos 6 primeiros meses após a compra do terreno
•	  IPTU: Consultar o Código Tributário Municipal referente à localidade do empreendimento.
•	  Consulta de Cadastro da área no INCRA e custos com ITR
•	  ITBI + Registro: Consultar o Código Tributário Municipal referente à localidade do empreendimento.</t>
  </si>
  <si>
    <t xml:space="preserve">•  Custo de projetos: 1 a 1,5% do VGV. 
•  Projetos com areas liquidas ate 100.000m2 considerar 1%. 
•  Projetos com área líquida superior a 100.000m2 considerar 1.5%
</t>
  </si>
  <si>
    <t>•  Custo estimado para aprovacoes: 0,5% (sem considerar contrapartidas financeiras ou em obras)</t>
  </si>
  <si>
    <t>•  Curva de desembolso dos custos de projetos e aprovações: Projetos: Diluido entre 8 e 12 parcelas anteriores ao lançamento.
•  Aprovações: 2 a 3 meses antes do lancamento. Diluido em 2 parcelas</t>
  </si>
  <si>
    <t>•	  De acordo com cronograma físico financeiro de obra
•	  Loteamento fechado: Infra 18 a 24 meses
•	  Obra de área comum: 8 a 12 meses
•	  Loteamento aberto: 18 a 24 meses
•	  +3 meses para finalização (ligações finais, acabamentos finais)</t>
  </si>
  <si>
    <t>•  Curva de obras: Padrão S, prazos entre 18 e 24 meses para loteamentos e 24 a 36 meses para condomínio fechado e grandes loteamentos.</t>
  </si>
  <si>
    <t>•	  Taxa de administração: conforme modelo de contratação PMG ou ADM sobre custo raso 
•	  Referências: 10% de BDI.
•	  O custo de obras deve variar de acordo com região, método construtivo, complexidade e padrão construtivo.</t>
  </si>
  <si>
    <t>•	  Comissão: 5% sobre VGV (avaliar condições mercadológicas locais)
•	  Despesas de pós Venda: 0,5%</t>
  </si>
  <si>
    <t>•	  Inadimplência: 
•	           Loteamento aberto: 25% a 30%
•	           Condomínio fechado: 5%
•	  Distratos: - 
•	  Meses de recuperação: 6 e 12 meses</t>
  </si>
  <si>
    <r>
      <t xml:space="preserve">•	  Valor do VGV
•	  Prazo de início do marketing: -3 meses
•	  </t>
    </r>
    <r>
      <rPr>
        <b/>
        <sz val="11"/>
        <color theme="1"/>
        <rFont val="Calibri"/>
        <family val="2"/>
        <scheme val="minor"/>
      </rPr>
      <t>Curva de Desembolso:</t>
    </r>
    <r>
      <rPr>
        <sz val="11"/>
        <color theme="1"/>
        <rFont val="Calibri"/>
        <family val="2"/>
        <scheme val="minor"/>
      </rPr>
      <t xml:space="preserve">
•	  50% em 3 meses (pré-lançamento)
•	  20% em 6 meses (lançamento)
•	  30% conforme fluxo de vendas</t>
    </r>
  </si>
  <si>
    <r>
      <rPr>
        <b/>
        <sz val="11"/>
        <color theme="1"/>
        <rFont val="Calibri"/>
        <family val="2"/>
        <scheme val="minor"/>
      </rPr>
      <t xml:space="preserve">Regra geral- entre 3,5% a 5,5% do VGV
</t>
    </r>
    <r>
      <rPr>
        <sz val="11"/>
        <color theme="1"/>
        <rFont val="Calibri"/>
        <family val="2"/>
        <scheme val="minor"/>
      </rPr>
      <t xml:space="preserve">
ITENS INCLUSOS COMO DESPESAS ADMINISTRATIVAS
•	  GESTÃO FINANCEIRA, CONTAS A PAGAR E CONTAS A RECEBER, CONCILIAÇÃO
•	  CONTABILIDADE
•	  SISTEMAS
•	  GESTÃO DE RECEBÍVEIS (COBRANÇA, RELACIONAMENTO COM O CLIENTE, MANUTENÇÃO TÉCNICA)
•	  MONITORAMENTO DE VIABILIDADE
•	  JURÍDICO (CONTENCIOSO, IMOBILIÁRIO)
•	  DESENVOLVIMENTO DE PRODUTO
•	  COORDENAÇÃO DE PROJETOS
•	  PLANEJAMENTO E ORÇAMENTO DE OBRAS
•	  NOVOS NEGÓCIOS
</t>
    </r>
    <r>
      <rPr>
        <b/>
        <sz val="11"/>
        <color theme="1"/>
        <rFont val="Calibri"/>
        <family val="2"/>
        <scheme val="minor"/>
      </rPr>
      <t xml:space="preserve">DESENVOLVIMENTO DE PRODUTO:
</t>
    </r>
    <r>
      <rPr>
        <sz val="11"/>
        <color theme="1"/>
        <rFont val="Calibri"/>
        <family val="2"/>
        <scheme val="minor"/>
      </rPr>
      <t>•	  X% do VGV em 36 meses 
•	  Fechado: 2%
•	  Aberto: 1%</t>
    </r>
    <r>
      <rPr>
        <b/>
        <sz val="11"/>
        <color theme="1"/>
        <rFont val="Calibri"/>
        <family val="2"/>
        <scheme val="minor"/>
      </rPr>
      <t xml:space="preserve">
PRÉ OPERACIONAL:
</t>
    </r>
    <r>
      <rPr>
        <sz val="11"/>
        <color theme="1"/>
        <rFont val="Calibri"/>
        <family val="2"/>
        <scheme val="minor"/>
      </rPr>
      <t>•	  Despesas de gestão interna: R$5.000,00/mês
•	  Taxa de gestão interna: -
•	  Despesas de gestão externa: R$5.000,00/mês</t>
    </r>
    <r>
      <rPr>
        <b/>
        <sz val="11"/>
        <color theme="1"/>
        <rFont val="Calibri"/>
        <family val="2"/>
        <scheme val="minor"/>
      </rPr>
      <t xml:space="preserve">
OPERACIONAL
</t>
    </r>
    <r>
      <rPr>
        <sz val="11"/>
        <color theme="1"/>
        <rFont val="Calibri"/>
        <family val="2"/>
        <scheme val="minor"/>
      </rPr>
      <t>•	  Despesas de gestão interna: -
•	  Despesas de gestão externa: -
•	  Taxa de gestão interna: 5% a 8%
•	  Taxa de gestão externa: 0% a 3%</t>
    </r>
    <r>
      <rPr>
        <b/>
        <sz val="11"/>
        <color theme="1"/>
        <rFont val="Calibri"/>
        <family val="2"/>
        <scheme val="minor"/>
      </rPr>
      <t xml:space="preserve">
PÓS OPERACIONAL
</t>
    </r>
    <r>
      <rPr>
        <sz val="11"/>
        <color theme="1"/>
        <rFont val="Calibri"/>
        <family val="2"/>
        <scheme val="minor"/>
      </rPr>
      <t>•	  Taxa de gestão interna: 1,25%
•	  Taxa de gestão externa: 2%
•	  Despesas de gestão interna: 5% a 8%
•	  Despesas de gestão externa: 0% a 3%</t>
    </r>
    <r>
      <rPr>
        <b/>
        <sz val="11"/>
        <color theme="1"/>
        <rFont val="Calibri"/>
        <family val="2"/>
        <scheme val="minor"/>
      </rPr>
      <t xml:space="preserve">
CONTABILIDADE
</t>
    </r>
    <r>
      <rPr>
        <sz val="11"/>
        <color theme="1"/>
        <rFont val="Calibri"/>
        <family val="2"/>
        <scheme val="minor"/>
      </rPr>
      <t xml:space="preserve">•	  Pré Operacional: R$620/mês
•	  Operacional: R$2.387/mês
•	  Pós Operacional: R$1.320/mês
•	  </t>
    </r>
    <r>
      <rPr>
        <b/>
        <sz val="11"/>
        <color theme="1"/>
        <rFont val="Calibri"/>
        <family val="2"/>
        <scheme val="minor"/>
      </rPr>
      <t>AUDITORIA</t>
    </r>
    <r>
      <rPr>
        <sz val="11"/>
        <color theme="1"/>
        <rFont val="Calibri"/>
        <family val="2"/>
        <scheme val="minor"/>
      </rPr>
      <t xml:space="preserve">
•	  Pré Operacional: R$462,46 /mês
•	  Operacional: R$1.849,85 /mês
•	  Pós Operacional: R$1.057,06 /mês
•	  </t>
    </r>
    <r>
      <rPr>
        <b/>
        <sz val="11"/>
        <color theme="1"/>
        <rFont val="Calibri"/>
        <family val="2"/>
        <scheme val="minor"/>
      </rPr>
      <t>VIAGEM</t>
    </r>
    <r>
      <rPr>
        <sz val="11"/>
        <color theme="1"/>
        <rFont val="Calibri"/>
        <family val="2"/>
        <scheme val="minor"/>
      </rPr>
      <t xml:space="preserve">
•	  Pré Operacional: Definir em cada situação
•	  Operacional: Definir em cada situação 
•	  Definir em cada situação 
</t>
    </r>
    <r>
      <rPr>
        <b/>
        <sz val="11"/>
        <color theme="1"/>
        <rFont val="Calibri"/>
        <family val="2"/>
        <scheme val="minor"/>
      </rPr>
      <t>TAXAS E DESPESAS</t>
    </r>
    <r>
      <rPr>
        <sz val="11"/>
        <color theme="1"/>
        <rFont val="Calibri"/>
        <family val="2"/>
        <scheme val="minor"/>
      </rPr>
      <t xml:space="preserve">
•	  Despesas legais (mínimo): R$500/mês
•	  Taxas e tributos: Pesquisar na legislação do município
•	  Despesas bancárias (mínimo): R$500/mês
•	  Loteamento fechado: 1% sobre estoque (IPTU e Condomínio)</t>
    </r>
  </si>
  <si>
    <t>•	  6,73% sobre receita
•	  Reavaliar condições de acordo com nova reforma tributária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</si>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</sst>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Segoe UI"/>
      <family val="2"/>
    </font>
    <font>
      <b/>
      <sz val="10"/>
      <color theme="1"/>
      <name val="Segoe UI"/>
      <family val="2"/>
    </font>
    <font>
      <sz val="9"/>
      <color theme="1"/>
      <name val="Segoe UI"/>
      <family val="2"/>
    </font>
    <font>
      <b/>
      <sz val="11"/>
      <color rgb="FF000000"/>
      <name val="Aptos"/>
      <family val="2"/>
    </font>
    <font>
      <b/>
      <sz val="12"/>
      <color theme="1"/>
      <name val="Segoe UI"/>
    </font>
    <font>
      <sz val="9"/>
      <color theme="1"/>
      <name val="Segoe UI"/>
    </font>
    <font>
      <sz val="10"/>
      <color theme="1"/>
      <name val="Calibri"/>
      <family val="2"/>
      <scheme val="minor"/>
    </font>
    <font>
      <b/>
      <sz val="10"/>
      <color theme="1"/>
      <name val="Segoe UI"/>
    </font>
    <font>
      <sz val="11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rgb="FF002060"/>
      </right>
      <top/>
      <bottom/>
      <diagonal/>
    </border>
    <border>
      <left style="hair">
        <color indexed="64"/>
      </left>
      <right style="hair">
        <color rgb="FF002060"/>
      </right>
      <top/>
      <bottom/>
      <diagonal/>
    </border>
    <border>
      <left style="hair">
        <color rgb="FF002060"/>
      </left>
      <right style="hair">
        <color rgb="FF002060"/>
      </right>
      <top/>
      <bottom/>
      <diagonal/>
    </border>
    <border>
      <left style="hair">
        <color rgb="FF002060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2060"/>
      </bottom>
      <diagonal/>
    </border>
    <border>
      <left style="hair">
        <color indexed="64"/>
      </left>
      <right style="hair">
        <color indexed="64"/>
      </right>
      <top/>
      <bottom style="hair">
        <color rgb="FF002060"/>
      </bottom>
      <diagonal/>
    </border>
    <border>
      <left style="hair">
        <color indexed="64"/>
      </left>
      <right style="hair">
        <color indexed="64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hair">
        <color rgb="FF002060"/>
      </top>
      <bottom style="hair">
        <color rgb="FF002060"/>
      </bottom>
      <diagonal/>
    </border>
    <border>
      <left/>
      <right style="hair">
        <color indexed="64"/>
      </right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 style="hair">
        <color indexed="64"/>
      </left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 style="hair">
        <color indexed="64"/>
      </right>
      <top style="hair">
        <color rgb="FF002060"/>
      </top>
      <bottom style="hair">
        <color rgb="FF00206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 style="hair">
        <color indexed="64"/>
      </left>
      <right style="hair">
        <color indexed="64"/>
      </right>
      <top style="hair">
        <color rgb="FF002060"/>
      </top>
      <bottom/>
      <diagonal/>
    </border>
    <border>
      <left style="hair">
        <color indexed="64"/>
      </left>
      <right style="hair">
        <color indexed="64"/>
      </right>
      <top style="hair">
        <color rgb="FF002060"/>
      </top>
      <bottom style="hair">
        <color indexed="64"/>
      </bottom>
      <diagonal/>
    </border>
    <border>
      <left/>
      <right style="hair">
        <color indexed="64"/>
      </right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 style="hair">
        <color indexed="64"/>
      </left>
      <right/>
      <top style="hair">
        <color rgb="FF002060"/>
      </top>
      <bottom style="hair">
        <color rgb="FF002060"/>
      </bottom>
      <diagonal/>
    </border>
    <border>
      <left style="hair">
        <color indexed="64"/>
      </left>
      <right/>
      <top/>
      <bottom style="hair">
        <color rgb="FF002060"/>
      </bottom>
      <diagonal/>
    </border>
    <border>
      <left style="hair">
        <color indexed="64"/>
      </left>
      <right style="hair">
        <color rgb="FF002060"/>
      </right>
      <top style="hair">
        <color rgb="FF002060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0" fillId="0" borderId="0" xfId="0" applyAlignment="1">
      <alignment horizontal="left" vertical="center"/>
    </xf>
    <xf numFmtId="0" fontId="0" fillId="0" borderId="3" xfId="0" applyBorder="1"/>
    <xf numFmtId="0" fontId="3" fillId="0" borderId="6" xfId="0" quotePrefix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0" fillId="0" borderId="1" xfId="0" applyBorder="1"/>
    <xf numFmtId="0" fontId="0" fillId="2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2" xfId="0" applyFill="1" applyBorder="1"/>
    <xf numFmtId="0" fontId="0" fillId="2" borderId="6" xfId="0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0" fillId="0" borderId="6" xfId="0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 wrapText="1"/>
    </xf>
    <xf numFmtId="0" fontId="3" fillId="0" borderId="6" xfId="0" applyFont="1" applyBorder="1" applyAlignment="1">
      <alignment horizontal="left" vertical="center"/>
    </xf>
    <xf numFmtId="0" fontId="9" fillId="2" borderId="0" xfId="0" applyFont="1" applyFill="1"/>
    <xf numFmtId="0" fontId="9" fillId="0" borderId="3" xfId="0" applyFont="1" applyBorder="1"/>
    <xf numFmtId="0" fontId="9" fillId="3" borderId="3" xfId="0" applyFont="1" applyFill="1" applyBorder="1"/>
    <xf numFmtId="0" fontId="9" fillId="0" borderId="0" xfId="0" applyFont="1"/>
    <xf numFmtId="0" fontId="3" fillId="0" borderId="5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9" fillId="2" borderId="11" xfId="0" applyFont="1" applyFill="1" applyBorder="1"/>
    <xf numFmtId="0" fontId="4" fillId="0" borderId="0" xfId="0" applyFont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3" borderId="18" xfId="0" applyFill="1" applyBorder="1"/>
    <xf numFmtId="0" fontId="0" fillId="2" borderId="17" xfId="0" applyFill="1" applyBorder="1"/>
    <xf numFmtId="0" fontId="0" fillId="3" borderId="13" xfId="0" applyFill="1" applyBorder="1"/>
    <xf numFmtId="0" fontId="0" fillId="0" borderId="13" xfId="0" applyBorder="1"/>
    <xf numFmtId="0" fontId="0" fillId="3" borderId="17" xfId="0" applyFill="1" applyBorder="1"/>
    <xf numFmtId="0" fontId="0" fillId="2" borderId="13" xfId="0" applyFill="1" applyBorder="1"/>
    <xf numFmtId="0" fontId="9" fillId="2" borderId="13" xfId="0" applyFont="1" applyFill="1" applyBorder="1"/>
    <xf numFmtId="0" fontId="9" fillId="2" borderId="19" xfId="0" applyFont="1" applyFill="1" applyBorder="1" applyAlignment="1">
      <alignment horizontal="left" vertical="center"/>
    </xf>
    <xf numFmtId="0" fontId="9" fillId="2" borderId="20" xfId="0" applyFont="1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 wrapText="1"/>
    </xf>
    <xf numFmtId="0" fontId="0" fillId="2" borderId="22" xfId="0" applyFill="1" applyBorder="1"/>
    <xf numFmtId="0" fontId="0" fillId="2" borderId="23" xfId="0" applyFill="1" applyBorder="1"/>
    <xf numFmtId="0" fontId="3" fillId="2" borderId="19" xfId="0" quotePrefix="1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0" fillId="0" borderId="23" xfId="0" applyBorder="1"/>
    <xf numFmtId="0" fontId="0" fillId="2" borderId="20" xfId="0" applyFill="1" applyBorder="1" applyAlignment="1">
      <alignment horizontal="left" vertical="center" wrapText="1"/>
    </xf>
    <xf numFmtId="0" fontId="9" fillId="2" borderId="14" xfId="0" applyFont="1" applyFill="1" applyBorder="1"/>
    <xf numFmtId="0" fontId="0" fillId="2" borderId="26" xfId="0" applyFill="1" applyBorder="1"/>
    <xf numFmtId="0" fontId="0" fillId="2" borderId="24" xfId="0" applyFill="1" applyBorder="1"/>
    <xf numFmtId="0" fontId="0" fillId="0" borderId="26" xfId="0" applyBorder="1"/>
    <xf numFmtId="0" fontId="0" fillId="2" borderId="18" xfId="0" applyFill="1" applyBorder="1"/>
    <xf numFmtId="0" fontId="9" fillId="2" borderId="7" xfId="0" applyFont="1" applyFill="1" applyBorder="1"/>
    <xf numFmtId="0" fontId="0" fillId="2" borderId="25" xfId="0" applyFill="1" applyBorder="1"/>
    <xf numFmtId="0" fontId="0" fillId="2" borderId="27" xfId="0" applyFill="1" applyBorder="1"/>
    <xf numFmtId="0" fontId="8" fillId="0" borderId="28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0" fillId="2" borderId="29" xfId="0" applyFill="1" applyBorder="1"/>
    <xf numFmtId="0" fontId="0" fillId="0" borderId="17" xfId="0" applyBorder="1"/>
    <xf numFmtId="0" fontId="0" fillId="2" borderId="16" xfId="0" applyFill="1" applyBorder="1"/>
    <xf numFmtId="0" fontId="0" fillId="2" borderId="30" xfId="0" applyFill="1" applyBorder="1" applyAlignment="1">
      <alignment horizontal="left" vertical="center"/>
    </xf>
    <xf numFmtId="0" fontId="3" fillId="0" borderId="30" xfId="0" quotePrefix="1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0" fillId="0" borderId="18" xfId="0" applyBorder="1"/>
    <xf numFmtId="0" fontId="4" fillId="0" borderId="19" xfId="0" applyFont="1" applyBorder="1" applyAlignment="1">
      <alignment horizontal="left" vertical="center"/>
    </xf>
    <xf numFmtId="0" fontId="0" fillId="3" borderId="23" xfId="0" applyFill="1" applyBorder="1"/>
    <xf numFmtId="0" fontId="11" fillId="0" borderId="4" xfId="0" applyFont="1" applyBorder="1" applyAlignment="1">
      <alignment horizontal="left" vertical="center" wrapText="1"/>
    </xf>
    <xf numFmtId="0" fontId="3" fillId="0" borderId="19" xfId="0" quotePrefix="1" applyFont="1" applyBorder="1" applyAlignment="1">
      <alignment horizontal="left" vertical="center"/>
    </xf>
    <xf numFmtId="0" fontId="0" fillId="2" borderId="31" xfId="0" applyFill="1" applyBorder="1"/>
    <xf numFmtId="0" fontId="0" fillId="0" borderId="17" xfId="0" applyBorder="1" applyAlignment="1">
      <alignment vertical="top" wrapText="1"/>
    </xf>
    <xf numFmtId="0" fontId="0" fillId="2" borderId="30" xfId="0" applyFill="1" applyBorder="1"/>
    <xf numFmtId="0" fontId="0" fillId="2" borderId="32" xfId="0" applyFill="1" applyBorder="1"/>
    <xf numFmtId="0" fontId="0" fillId="2" borderId="10" xfId="0" applyFill="1" applyBorder="1"/>
    <xf numFmtId="0" fontId="1" fillId="2" borderId="2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4" xfId="0" applyBorder="1" applyAlignment="1">
      <alignment horizontal="left" wrapText="1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17" xfId="0" applyBorder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2551580</xdr:colOff>
      <xdr:row>0</xdr:row>
      <xdr:rowOff>0</xdr:rowOff>
    </xdr:from>
    <xdr:to>
      <xdr:col>1</xdr:col>
      <xdr:colOff>3787589</xdr:colOff>
      <xdr:row>2</xdr:row>
      <xdr:rowOff>42460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0E7FF3-C07C-4D23-AF08-6E0C80B6D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8256" y="0"/>
          <a:ext cx="1236009" cy="4570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3279962</xdr:colOff>
      <xdr:row>0</xdr:row>
      <xdr:rowOff>22411</xdr:rowOff>
    </xdr:from>
    <xdr:to>
      <xdr:col>1</xdr:col>
      <xdr:colOff>4515971</xdr:colOff>
      <xdr:row>2</xdr:row>
      <xdr:rowOff>64871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EEA253-B87F-4299-AAC3-8F30D1D4E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6638" y="22411"/>
          <a:ext cx="1236009" cy="457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95FC-1E07-4EEF-8687-5305AC6EFEAE}">
  <dimension ref="A1:G132"/>
  <sheetViews>
    <sheetView showGridLines="0" zoomScale="85" zoomScaleNormal="85" workbookViewId="0">
      <selection activeCell="G115" sqref="G115"/>
    </sheetView>
  </sheetViews>
  <sheetFormatPr defaultRowHeight="14.4" x14ac:dyDescent="0.3"/>
  <cols>
    <col min="1" max="1" width="7.88671875" style="1" customWidth="1"/>
    <col min="2" max="2" width="58.44140625" style="31" customWidth="1"/>
    <col min="3" max="3" width="1.6640625" customWidth="1"/>
    <col min="4" max="4" width="48.6640625" customWidth="1"/>
    <col min="5" max="5" width="1.6640625" customWidth="1"/>
    <col min="6" max="6" width="100.109375" customWidth="1"/>
    <col min="7" max="7" width="45.33203125" customWidth="1"/>
  </cols>
  <sheetData>
    <row r="1" spans="1:7" ht="17.25" customHeight="1" x14ac:dyDescent="0.3">
      <c r="A1" s="3"/>
      <c r="B1" s="24" t="s">
        <v>0</v>
      </c>
      <c r="C1" s="8"/>
      <c r="D1" s="106" t="s">
        <v>1</v>
      </c>
      <c r="E1" s="8"/>
      <c r="F1" s="111" t="s">
        <v>2</v>
      </c>
    </row>
    <row r="2" spans="1:7" ht="15" customHeight="1" x14ac:dyDescent="0.3">
      <c r="A2" s="15"/>
      <c r="B2" s="25"/>
      <c r="C2" s="8"/>
      <c r="D2" s="107"/>
      <c r="E2" s="8"/>
      <c r="F2" s="112"/>
    </row>
    <row r="3" spans="1:7" ht="19.2" x14ac:dyDescent="0.3">
      <c r="A3" s="3"/>
      <c r="B3" s="26" t="s">
        <v>3</v>
      </c>
      <c r="C3" s="8"/>
      <c r="D3" s="107"/>
      <c r="E3" s="8"/>
      <c r="F3" s="112"/>
    </row>
    <row r="4" spans="1:7" ht="19.2" x14ac:dyDescent="0.3">
      <c r="A4" s="58"/>
      <c r="B4" s="59"/>
      <c r="C4" s="56"/>
      <c r="D4" s="57"/>
      <c r="E4" s="8"/>
      <c r="F4" s="50"/>
    </row>
    <row r="5" spans="1:7" ht="15" x14ac:dyDescent="0.3">
      <c r="A5" s="4"/>
      <c r="B5" s="27" t="s">
        <v>4</v>
      </c>
      <c r="C5" s="8"/>
      <c r="D5" s="2"/>
      <c r="E5" s="8"/>
      <c r="F5" s="9"/>
    </row>
    <row r="6" spans="1:7" x14ac:dyDescent="0.3">
      <c r="A6" s="54"/>
      <c r="B6" s="55"/>
      <c r="C6" s="56"/>
      <c r="D6" s="57"/>
      <c r="E6" s="8"/>
      <c r="F6" s="50"/>
    </row>
    <row r="7" spans="1:7" ht="19.2" x14ac:dyDescent="0.3">
      <c r="A7" s="36">
        <f>A3+1</f>
        <v>1</v>
      </c>
      <c r="B7" s="35" t="s">
        <v>5</v>
      </c>
      <c r="C7" s="8"/>
      <c r="D7" s="2"/>
      <c r="E7" s="8"/>
      <c r="F7" s="9"/>
    </row>
    <row r="8" spans="1:7" x14ac:dyDescent="0.3">
      <c r="A8" s="54"/>
      <c r="B8" s="55"/>
      <c r="C8" s="56"/>
      <c r="D8" s="57"/>
      <c r="E8" s="8"/>
      <c r="F8" s="50"/>
    </row>
    <row r="9" spans="1:7" s="23" customFormat="1" ht="13.8" x14ac:dyDescent="0.3">
      <c r="A9" s="37" t="s">
        <v>6</v>
      </c>
      <c r="B9" s="38" t="s">
        <v>7</v>
      </c>
      <c r="C9" s="20"/>
      <c r="D9" s="21"/>
      <c r="E9" s="20"/>
      <c r="F9" s="22"/>
    </row>
    <row r="10" spans="1:7" s="23" customFormat="1" ht="13.8" x14ac:dyDescent="0.3">
      <c r="A10" s="37" t="s">
        <v>8</v>
      </c>
      <c r="B10" s="38" t="s">
        <v>9</v>
      </c>
      <c r="C10" s="20"/>
      <c r="D10" s="21"/>
      <c r="E10" s="20"/>
      <c r="F10" s="22"/>
    </row>
    <row r="11" spans="1:7" s="23" customFormat="1" ht="13.8" x14ac:dyDescent="0.3">
      <c r="A11" s="37" t="s">
        <v>10</v>
      </c>
      <c r="B11" s="38" t="s">
        <v>11</v>
      </c>
      <c r="C11" s="20"/>
      <c r="D11" s="21"/>
      <c r="E11" s="20"/>
      <c r="F11" s="22"/>
    </row>
    <row r="12" spans="1:7" s="23" customFormat="1" ht="13.8" x14ac:dyDescent="0.3">
      <c r="A12" s="37" t="s">
        <v>12</v>
      </c>
      <c r="B12" s="38" t="s">
        <v>13</v>
      </c>
      <c r="C12" s="20"/>
      <c r="D12" s="21"/>
      <c r="E12" s="20"/>
      <c r="F12" s="22"/>
    </row>
    <row r="13" spans="1:7" s="23" customFormat="1" ht="13.8" x14ac:dyDescent="0.3">
      <c r="A13" s="37" t="s">
        <v>14</v>
      </c>
      <c r="B13" s="38" t="s">
        <v>15</v>
      </c>
      <c r="C13" s="20"/>
      <c r="D13" s="21"/>
      <c r="E13" s="20"/>
      <c r="F13" s="22"/>
    </row>
    <row r="14" spans="1:7" s="23" customFormat="1" x14ac:dyDescent="0.3">
      <c r="A14" s="37" t="s">
        <v>16</v>
      </c>
      <c r="B14" s="29" t="s">
        <v>17</v>
      </c>
      <c r="C14" s="20"/>
      <c r="D14" s="21"/>
      <c r="E14" s="40"/>
      <c r="F14" s="48" t="s">
        <v>18</v>
      </c>
      <c r="G14"/>
    </row>
    <row r="15" spans="1:7" s="23" customFormat="1" ht="13.8" x14ac:dyDescent="0.3">
      <c r="A15" s="52"/>
      <c r="B15" s="53"/>
      <c r="C15" s="64"/>
      <c r="D15" s="51"/>
      <c r="E15" s="51"/>
      <c r="F15" s="69"/>
    </row>
    <row r="16" spans="1:7" ht="19.2" x14ac:dyDescent="0.3">
      <c r="A16" s="19">
        <f>A7+1</f>
        <v>2</v>
      </c>
      <c r="B16" s="26" t="s">
        <v>19</v>
      </c>
      <c r="C16" s="65"/>
      <c r="D16" s="2"/>
      <c r="E16" s="57"/>
      <c r="F16" s="47"/>
    </row>
    <row r="17" spans="1:6" x14ac:dyDescent="0.3">
      <c r="A17" s="54"/>
      <c r="B17" s="63"/>
      <c r="C17" s="66"/>
      <c r="D17" s="65"/>
      <c r="E17" s="68"/>
      <c r="F17" s="68"/>
    </row>
    <row r="18" spans="1:6" ht="15" x14ac:dyDescent="0.3">
      <c r="A18" s="30" t="s">
        <v>20</v>
      </c>
      <c r="B18" s="27" t="s">
        <v>21</v>
      </c>
      <c r="C18" s="8"/>
      <c r="D18" s="67"/>
      <c r="E18" s="65"/>
      <c r="F18" s="9"/>
    </row>
    <row r="19" spans="1:6" x14ac:dyDescent="0.3">
      <c r="A19" s="34" t="s">
        <v>22</v>
      </c>
      <c r="B19" s="29" t="s">
        <v>23</v>
      </c>
      <c r="C19" s="8"/>
      <c r="D19" s="2"/>
      <c r="E19" s="8"/>
      <c r="F19" s="9"/>
    </row>
    <row r="20" spans="1:6" x14ac:dyDescent="0.3">
      <c r="A20" s="34" t="s">
        <v>24</v>
      </c>
      <c r="B20" s="29" t="s">
        <v>25</v>
      </c>
      <c r="C20" s="8"/>
      <c r="D20" s="2"/>
      <c r="E20" s="8"/>
      <c r="F20" s="9"/>
    </row>
    <row r="21" spans="1:6" x14ac:dyDescent="0.3">
      <c r="A21" s="34" t="s">
        <v>26</v>
      </c>
      <c r="B21" s="29" t="s">
        <v>27</v>
      </c>
      <c r="C21" s="8"/>
      <c r="D21" s="2"/>
      <c r="E21" s="8"/>
      <c r="F21" s="9"/>
    </row>
    <row r="22" spans="1:6" x14ac:dyDescent="0.3">
      <c r="A22" s="34" t="s">
        <v>28</v>
      </c>
      <c r="B22" s="29" t="s">
        <v>29</v>
      </c>
      <c r="C22" s="8"/>
      <c r="D22" s="2"/>
      <c r="E22" s="8"/>
      <c r="F22" s="9"/>
    </row>
    <row r="23" spans="1:6" x14ac:dyDescent="0.3">
      <c r="A23" s="34" t="s">
        <v>30</v>
      </c>
      <c r="B23" s="29" t="s">
        <v>31</v>
      </c>
      <c r="C23" s="8"/>
      <c r="D23" s="2"/>
      <c r="E23" s="8"/>
      <c r="F23" s="9"/>
    </row>
    <row r="24" spans="1:6" x14ac:dyDescent="0.3">
      <c r="A24" s="34" t="s">
        <v>32</v>
      </c>
      <c r="B24" s="29" t="s">
        <v>33</v>
      </c>
      <c r="C24" s="8"/>
      <c r="D24" s="2"/>
      <c r="E24" s="8"/>
      <c r="F24" s="9"/>
    </row>
    <row r="25" spans="1:6" x14ac:dyDescent="0.3">
      <c r="A25" s="34" t="s">
        <v>34</v>
      </c>
      <c r="B25" s="29" t="s">
        <v>35</v>
      </c>
      <c r="C25" s="8"/>
      <c r="D25" s="2"/>
      <c r="E25" s="8"/>
      <c r="F25" s="9"/>
    </row>
    <row r="26" spans="1:6" ht="15" x14ac:dyDescent="0.3">
      <c r="A26" s="60" t="s">
        <v>36</v>
      </c>
      <c r="B26" s="61" t="s">
        <v>37</v>
      </c>
      <c r="C26" s="56"/>
      <c r="D26" s="62"/>
      <c r="E26" s="70"/>
      <c r="F26" s="71"/>
    </row>
    <row r="27" spans="1:6" ht="68.25" customHeight="1" x14ac:dyDescent="0.3">
      <c r="A27" s="34" t="s">
        <v>38</v>
      </c>
      <c r="B27" s="29" t="s">
        <v>39</v>
      </c>
      <c r="C27" s="8"/>
      <c r="D27" s="2"/>
      <c r="E27" s="65"/>
      <c r="F27" s="100" t="s">
        <v>40</v>
      </c>
    </row>
    <row r="28" spans="1:6" ht="68.25" customHeight="1" x14ac:dyDescent="0.3">
      <c r="A28" s="34" t="s">
        <v>41</v>
      </c>
      <c r="B28" s="29" t="s">
        <v>42</v>
      </c>
      <c r="C28" s="8"/>
      <c r="D28" s="2"/>
      <c r="E28" s="8"/>
      <c r="F28" s="108"/>
    </row>
    <row r="29" spans="1:6" ht="28.8" x14ac:dyDescent="0.3">
      <c r="A29" s="34" t="s">
        <v>43</v>
      </c>
      <c r="B29" s="29" t="s">
        <v>44</v>
      </c>
      <c r="C29" s="8"/>
      <c r="D29" s="2"/>
      <c r="E29" s="8"/>
      <c r="F29" s="17" t="s">
        <v>45</v>
      </c>
    </row>
    <row r="30" spans="1:6" ht="26.4" x14ac:dyDescent="0.3">
      <c r="A30" s="34" t="s">
        <v>46</v>
      </c>
      <c r="B30" s="29" t="s">
        <v>47</v>
      </c>
      <c r="C30" s="8"/>
      <c r="D30" s="2"/>
      <c r="E30" s="8"/>
      <c r="F30" s="7" t="s">
        <v>48</v>
      </c>
    </row>
    <row r="31" spans="1:6" x14ac:dyDescent="0.3">
      <c r="A31" s="72" t="s">
        <v>49</v>
      </c>
      <c r="B31" s="73" t="s">
        <v>50</v>
      </c>
      <c r="C31" s="74"/>
      <c r="D31" s="75"/>
      <c r="E31" s="74"/>
      <c r="F31" s="49"/>
    </row>
    <row r="32" spans="1:6" ht="15" x14ac:dyDescent="0.3">
      <c r="A32" s="30" t="s">
        <v>51</v>
      </c>
      <c r="B32" s="27" t="s">
        <v>52</v>
      </c>
      <c r="C32" s="8"/>
      <c r="D32" s="2"/>
      <c r="E32" s="8"/>
      <c r="F32" s="14"/>
    </row>
    <row r="33" spans="1:6" ht="39.75" customHeight="1" x14ac:dyDescent="0.3">
      <c r="A33" s="34" t="s">
        <v>53</v>
      </c>
      <c r="B33" s="29" t="s">
        <v>54</v>
      </c>
      <c r="C33" s="8"/>
      <c r="D33" s="2"/>
      <c r="E33" s="8"/>
      <c r="F33" s="109" t="s">
        <v>55</v>
      </c>
    </row>
    <row r="34" spans="1:6" ht="39.75" customHeight="1" x14ac:dyDescent="0.3">
      <c r="A34" s="34" t="s">
        <v>56</v>
      </c>
      <c r="B34" s="29" t="s">
        <v>57</v>
      </c>
      <c r="C34" s="8"/>
      <c r="D34" s="2"/>
      <c r="E34" s="8"/>
      <c r="F34" s="110"/>
    </row>
    <row r="35" spans="1:6" ht="15" x14ac:dyDescent="0.3">
      <c r="A35" s="30" t="s">
        <v>58</v>
      </c>
      <c r="B35" s="27" t="s">
        <v>59</v>
      </c>
      <c r="C35" s="8"/>
      <c r="D35" s="2"/>
      <c r="E35" s="8"/>
      <c r="F35" s="76"/>
    </row>
    <row r="36" spans="1:6" x14ac:dyDescent="0.3">
      <c r="A36" s="34" t="s">
        <v>60</v>
      </c>
      <c r="B36" s="29" t="s">
        <v>61</v>
      </c>
      <c r="C36" s="8"/>
      <c r="D36" s="2"/>
      <c r="E36" s="8"/>
      <c r="F36" s="9"/>
    </row>
    <row r="37" spans="1:6" x14ac:dyDescent="0.3">
      <c r="A37" s="72" t="s">
        <v>62</v>
      </c>
      <c r="B37" s="73" t="s">
        <v>63</v>
      </c>
      <c r="C37" s="74"/>
      <c r="D37" s="75"/>
      <c r="E37" s="74"/>
      <c r="F37" s="49"/>
    </row>
    <row r="38" spans="1:6" x14ac:dyDescent="0.3">
      <c r="A38" s="77"/>
      <c r="B38" s="55"/>
      <c r="C38" s="56"/>
      <c r="D38" s="68"/>
      <c r="E38" s="56"/>
      <c r="F38" s="68"/>
    </row>
    <row r="39" spans="1:6" ht="19.2" x14ac:dyDescent="0.3">
      <c r="A39" s="78" t="s">
        <v>64</v>
      </c>
      <c r="B39" s="79" t="s">
        <v>65</v>
      </c>
      <c r="C39" s="56"/>
      <c r="D39" s="80"/>
      <c r="E39" s="56"/>
      <c r="F39" s="45"/>
    </row>
    <row r="40" spans="1:6" x14ac:dyDescent="0.3">
      <c r="A40" s="77"/>
      <c r="B40" s="55"/>
      <c r="C40" s="56"/>
      <c r="D40" s="68"/>
      <c r="E40" s="56"/>
      <c r="F40" s="68"/>
    </row>
    <row r="41" spans="1:6" ht="15" x14ac:dyDescent="0.3">
      <c r="A41" s="4" t="s">
        <v>66</v>
      </c>
      <c r="B41" s="27" t="s">
        <v>67</v>
      </c>
      <c r="C41" s="8"/>
      <c r="D41" s="2"/>
      <c r="E41" s="8"/>
      <c r="F41" s="9"/>
    </row>
    <row r="42" spans="1:6" ht="15" x14ac:dyDescent="0.3">
      <c r="A42" s="4" t="s">
        <v>68</v>
      </c>
      <c r="B42" s="27" t="s">
        <v>69</v>
      </c>
      <c r="C42" s="8"/>
      <c r="D42" s="2"/>
      <c r="E42" s="8"/>
      <c r="F42" s="10"/>
    </row>
    <row r="43" spans="1:6" ht="39" customHeight="1" x14ac:dyDescent="0.3">
      <c r="A43" s="5" t="s">
        <v>70</v>
      </c>
      <c r="B43" s="29" t="s">
        <v>71</v>
      </c>
      <c r="C43" s="8"/>
      <c r="D43" s="2"/>
      <c r="E43" s="8"/>
      <c r="F43" s="100" t="s">
        <v>72</v>
      </c>
    </row>
    <row r="44" spans="1:6" ht="39" customHeight="1" x14ac:dyDescent="0.3">
      <c r="A44" s="5" t="s">
        <v>73</v>
      </c>
      <c r="B44" s="29" t="s">
        <v>74</v>
      </c>
      <c r="C44" s="8"/>
      <c r="D44" s="2"/>
      <c r="E44" s="8"/>
      <c r="F44" s="108"/>
    </row>
    <row r="45" spans="1:6" ht="15" x14ac:dyDescent="0.3">
      <c r="A45" s="4" t="s">
        <v>75</v>
      </c>
      <c r="B45" s="27" t="s">
        <v>76</v>
      </c>
      <c r="C45" s="8"/>
      <c r="D45" s="2"/>
      <c r="E45" s="8"/>
      <c r="F45" s="11"/>
    </row>
    <row r="46" spans="1:6" x14ac:dyDescent="0.3">
      <c r="A46" s="5" t="s">
        <v>77</v>
      </c>
      <c r="B46" s="29" t="s">
        <v>78</v>
      </c>
      <c r="C46" s="8"/>
      <c r="D46" s="2"/>
      <c r="E46" s="8"/>
      <c r="F46" s="9"/>
    </row>
    <row r="47" spans="1:6" x14ac:dyDescent="0.3">
      <c r="A47" s="5" t="s">
        <v>79</v>
      </c>
      <c r="B47" s="29" t="s">
        <v>80</v>
      </c>
      <c r="C47" s="8"/>
      <c r="D47" s="2"/>
      <c r="E47" s="8"/>
      <c r="F47" s="9"/>
    </row>
    <row r="48" spans="1:6" x14ac:dyDescent="0.3">
      <c r="A48" s="5" t="s">
        <v>81</v>
      </c>
      <c r="B48" s="29" t="s">
        <v>82</v>
      </c>
      <c r="C48" s="8"/>
      <c r="D48" s="2"/>
      <c r="E48" s="8"/>
      <c r="F48" s="9"/>
    </row>
    <row r="49" spans="1:6" ht="15" x14ac:dyDescent="0.3">
      <c r="A49" s="4" t="s">
        <v>83</v>
      </c>
      <c r="B49" s="27" t="s">
        <v>84</v>
      </c>
      <c r="C49" s="8"/>
      <c r="D49" s="2"/>
      <c r="E49" s="8"/>
      <c r="F49" s="9"/>
    </row>
    <row r="50" spans="1:6" x14ac:dyDescent="0.3">
      <c r="A50" s="5" t="s">
        <v>85</v>
      </c>
      <c r="B50" s="29" t="s">
        <v>86</v>
      </c>
      <c r="C50" s="8"/>
      <c r="D50" s="2"/>
      <c r="E50" s="8"/>
      <c r="F50" s="9"/>
    </row>
    <row r="51" spans="1:6" ht="26.4" x14ac:dyDescent="0.3">
      <c r="A51" s="5" t="s">
        <v>87</v>
      </c>
      <c r="B51" s="29" t="s">
        <v>88</v>
      </c>
      <c r="C51" s="8"/>
      <c r="D51" s="2"/>
      <c r="E51" s="8"/>
      <c r="F51" s="9"/>
    </row>
    <row r="52" spans="1:6" x14ac:dyDescent="0.3">
      <c r="A52" s="5" t="s">
        <v>89</v>
      </c>
      <c r="B52" s="29" t="s">
        <v>90</v>
      </c>
      <c r="C52" s="8"/>
      <c r="D52" s="2"/>
      <c r="E52" s="8"/>
      <c r="F52" s="9"/>
    </row>
    <row r="53" spans="1:6" x14ac:dyDescent="0.3">
      <c r="A53" s="54"/>
      <c r="B53" s="55"/>
      <c r="C53" s="56"/>
      <c r="D53" s="68"/>
      <c r="E53" s="56"/>
      <c r="F53" s="57"/>
    </row>
    <row r="54" spans="1:6" ht="19.2" x14ac:dyDescent="0.3">
      <c r="A54" s="3" t="s">
        <v>91</v>
      </c>
      <c r="B54" s="26" t="s">
        <v>92</v>
      </c>
      <c r="C54" s="8"/>
      <c r="D54" s="2"/>
      <c r="E54" s="8"/>
      <c r="F54" s="9"/>
    </row>
    <row r="55" spans="1:6" x14ac:dyDescent="0.3">
      <c r="A55" s="54"/>
      <c r="B55" s="55"/>
      <c r="C55" s="56"/>
      <c r="D55" s="68"/>
      <c r="E55" s="56"/>
      <c r="F55" s="57"/>
    </row>
    <row r="56" spans="1:6" ht="15" x14ac:dyDescent="0.3">
      <c r="A56" s="4" t="s">
        <v>93</v>
      </c>
      <c r="B56" s="27" t="s">
        <v>94</v>
      </c>
      <c r="C56" s="8"/>
      <c r="D56" s="2"/>
      <c r="E56" s="8"/>
      <c r="F56" s="9"/>
    </row>
    <row r="57" spans="1:6" ht="153" customHeight="1" x14ac:dyDescent="0.3">
      <c r="A57" s="5" t="s">
        <v>95</v>
      </c>
      <c r="B57" s="29" t="s">
        <v>96</v>
      </c>
      <c r="C57" s="8"/>
      <c r="D57" s="2"/>
      <c r="E57" s="8"/>
      <c r="F57" s="97" t="s">
        <v>97</v>
      </c>
    </row>
    <row r="58" spans="1:6" ht="153" customHeight="1" x14ac:dyDescent="0.3">
      <c r="A58" s="5" t="s">
        <v>98</v>
      </c>
      <c r="B58" s="29" t="s">
        <v>99</v>
      </c>
      <c r="C58" s="8"/>
      <c r="D58" s="2"/>
      <c r="E58" s="8"/>
      <c r="F58" s="98"/>
    </row>
    <row r="59" spans="1:6" ht="153" customHeight="1" x14ac:dyDescent="0.3">
      <c r="A59" s="5" t="s">
        <v>100</v>
      </c>
      <c r="B59" s="29" t="s">
        <v>101</v>
      </c>
      <c r="C59" s="8"/>
      <c r="D59" s="2"/>
      <c r="E59" s="8"/>
      <c r="F59" s="99"/>
    </row>
    <row r="60" spans="1:6" x14ac:dyDescent="0.3">
      <c r="A60" s="12"/>
      <c r="B60" s="28"/>
      <c r="C60" s="8"/>
      <c r="D60" s="13"/>
      <c r="E60" s="8"/>
      <c r="F60" s="13"/>
    </row>
    <row r="61" spans="1:6" ht="19.2" x14ac:dyDescent="0.3">
      <c r="A61" s="3" t="s">
        <v>102</v>
      </c>
      <c r="B61" s="26" t="s">
        <v>103</v>
      </c>
      <c r="C61" s="8"/>
      <c r="D61" s="2"/>
      <c r="E61" s="8"/>
      <c r="F61" s="47"/>
    </row>
    <row r="62" spans="1:6" x14ac:dyDescent="0.3">
      <c r="A62" s="12"/>
      <c r="B62" s="28"/>
      <c r="C62" s="8"/>
      <c r="D62" s="13"/>
      <c r="E62" s="8"/>
      <c r="F62" s="46"/>
    </row>
    <row r="63" spans="1:6" ht="15" x14ac:dyDescent="0.3">
      <c r="A63" s="4" t="s">
        <v>104</v>
      </c>
      <c r="B63" s="27" t="s">
        <v>105</v>
      </c>
      <c r="C63" s="8"/>
      <c r="D63" s="2"/>
      <c r="E63" s="8"/>
      <c r="F63" s="9"/>
    </row>
    <row r="64" spans="1:6" x14ac:dyDescent="0.3">
      <c r="A64" s="5" t="s">
        <v>106</v>
      </c>
      <c r="B64" s="29" t="s">
        <v>107</v>
      </c>
      <c r="C64" s="8"/>
      <c r="D64" s="2"/>
      <c r="E64" s="8"/>
      <c r="F64" s="9"/>
    </row>
    <row r="65" spans="1:7" x14ac:dyDescent="0.3">
      <c r="A65" s="5" t="s">
        <v>108</v>
      </c>
      <c r="B65" s="29" t="s">
        <v>109</v>
      </c>
      <c r="C65" s="8"/>
      <c r="D65" s="2"/>
      <c r="E65" s="8"/>
      <c r="F65" s="9"/>
    </row>
    <row r="66" spans="1:7" ht="26.4" x14ac:dyDescent="0.3">
      <c r="A66" s="5" t="s">
        <v>110</v>
      </c>
      <c r="B66" s="29" t="s">
        <v>111</v>
      </c>
      <c r="C66" s="8"/>
      <c r="D66" s="2"/>
      <c r="E66" s="8"/>
      <c r="F66" s="9"/>
    </row>
    <row r="67" spans="1:7" ht="26.4" x14ac:dyDescent="0.3">
      <c r="A67" s="5" t="s">
        <v>112</v>
      </c>
      <c r="B67" s="29" t="s">
        <v>113</v>
      </c>
      <c r="C67" s="8"/>
      <c r="D67" s="2"/>
      <c r="E67" s="8"/>
      <c r="F67" s="9"/>
    </row>
    <row r="68" spans="1:7" ht="15" x14ac:dyDescent="0.3">
      <c r="A68" s="81" t="s">
        <v>114</v>
      </c>
      <c r="B68" s="61" t="s">
        <v>115</v>
      </c>
      <c r="C68" s="56"/>
      <c r="D68" s="80"/>
      <c r="E68" s="56"/>
      <c r="F68" s="82"/>
    </row>
    <row r="69" spans="1:7" ht="172.8" x14ac:dyDescent="0.3">
      <c r="A69" s="5" t="s">
        <v>116</v>
      </c>
      <c r="B69" s="29" t="s">
        <v>117</v>
      </c>
      <c r="C69" s="8"/>
      <c r="D69" s="2"/>
      <c r="E69" s="8"/>
      <c r="F69" s="83" t="s">
        <v>118</v>
      </c>
    </row>
    <row r="70" spans="1:7" ht="23.25" customHeight="1" x14ac:dyDescent="0.3">
      <c r="A70" s="5" t="s">
        <v>119</v>
      </c>
      <c r="B70" s="29" t="s">
        <v>120</v>
      </c>
      <c r="C70" s="8"/>
      <c r="D70" s="2"/>
      <c r="E70" s="8"/>
      <c r="F70" s="18" t="s">
        <v>121</v>
      </c>
    </row>
    <row r="71" spans="1:7" ht="15" x14ac:dyDescent="0.3">
      <c r="A71" s="81" t="s">
        <v>122</v>
      </c>
      <c r="B71" s="61" t="s">
        <v>123</v>
      </c>
      <c r="C71" s="56"/>
      <c r="D71" s="80"/>
      <c r="E71" s="56"/>
      <c r="F71" s="82"/>
    </row>
    <row r="72" spans="1:7" ht="32.25" customHeight="1" x14ac:dyDescent="0.3">
      <c r="A72" s="5" t="s">
        <v>124</v>
      </c>
      <c r="B72" s="29" t="s">
        <v>125</v>
      </c>
      <c r="C72" s="8"/>
      <c r="D72" s="2"/>
      <c r="E72" s="8"/>
      <c r="F72" s="101" t="s">
        <v>126</v>
      </c>
    </row>
    <row r="73" spans="1:7" ht="32.25" customHeight="1" x14ac:dyDescent="0.3">
      <c r="A73" s="5" t="s">
        <v>127</v>
      </c>
      <c r="B73" s="29" t="s">
        <v>128</v>
      </c>
      <c r="C73" s="8"/>
      <c r="D73" s="2"/>
      <c r="E73" s="8"/>
      <c r="F73" s="101"/>
    </row>
    <row r="74" spans="1:7" ht="32.25" customHeight="1" x14ac:dyDescent="0.3">
      <c r="A74" s="5" t="s">
        <v>129</v>
      </c>
      <c r="B74" s="29" t="s">
        <v>130</v>
      </c>
      <c r="C74" s="8"/>
      <c r="D74" s="2"/>
      <c r="E74" s="8"/>
      <c r="F74" s="105"/>
    </row>
    <row r="75" spans="1:7" x14ac:dyDescent="0.3">
      <c r="A75" s="12"/>
      <c r="B75" s="28"/>
      <c r="C75" s="8"/>
      <c r="D75" s="13"/>
      <c r="E75" s="8"/>
      <c r="F75" s="13"/>
    </row>
    <row r="76" spans="1:7" ht="19.2" x14ac:dyDescent="0.3">
      <c r="A76" s="84" t="s">
        <v>131</v>
      </c>
      <c r="B76" s="79" t="s">
        <v>132</v>
      </c>
      <c r="C76" s="56"/>
      <c r="D76" s="80"/>
      <c r="E76" s="56"/>
      <c r="F76" s="82"/>
    </row>
    <row r="77" spans="1:7" x14ac:dyDescent="0.3">
      <c r="A77" s="54"/>
      <c r="B77" s="55"/>
      <c r="C77" s="56"/>
      <c r="D77" s="68"/>
      <c r="E77" s="56"/>
      <c r="F77" s="57"/>
    </row>
    <row r="78" spans="1:7" ht="15" x14ac:dyDescent="0.3">
      <c r="A78" s="4" t="s">
        <v>133</v>
      </c>
      <c r="B78" s="27" t="s">
        <v>134</v>
      </c>
      <c r="C78" s="8"/>
      <c r="D78" s="2"/>
      <c r="E78" s="8"/>
      <c r="F78" s="42" t="s">
        <v>135</v>
      </c>
    </row>
    <row r="79" spans="1:7" ht="15" x14ac:dyDescent="0.3">
      <c r="A79" s="41" t="s">
        <v>136</v>
      </c>
      <c r="B79" s="29" t="s">
        <v>137</v>
      </c>
      <c r="C79" s="8"/>
      <c r="D79" s="2"/>
      <c r="E79" s="8"/>
      <c r="F79" s="42" t="s">
        <v>138</v>
      </c>
    </row>
    <row r="80" spans="1:7" ht="28.8" x14ac:dyDescent="0.3">
      <c r="A80" s="5" t="s">
        <v>139</v>
      </c>
      <c r="B80" s="29" t="s">
        <v>140</v>
      </c>
      <c r="C80" s="8"/>
      <c r="D80" s="2"/>
      <c r="E80" s="8"/>
      <c r="F80" s="42" t="s">
        <v>141</v>
      </c>
      <c r="G80" s="95"/>
    </row>
    <row r="81" spans="1:7" x14ac:dyDescent="0.3">
      <c r="A81" s="5" t="s">
        <v>142</v>
      </c>
      <c r="B81" s="29" t="s">
        <v>143</v>
      </c>
      <c r="C81" s="8"/>
      <c r="D81" s="2"/>
      <c r="E81" s="8"/>
      <c r="F81" s="43" t="s">
        <v>144</v>
      </c>
      <c r="G81" s="95"/>
    </row>
    <row r="82" spans="1:7" ht="43.2" x14ac:dyDescent="0.3">
      <c r="A82" s="5" t="s">
        <v>145</v>
      </c>
      <c r="B82" s="29" t="s">
        <v>146</v>
      </c>
      <c r="C82" s="8"/>
      <c r="D82" s="2"/>
      <c r="E82" s="85"/>
      <c r="F82" s="86" t="s">
        <v>147</v>
      </c>
      <c r="G82" s="96"/>
    </row>
    <row r="83" spans="1:7" ht="345.6" x14ac:dyDescent="0.3">
      <c r="A83" s="37" t="s">
        <v>148</v>
      </c>
      <c r="B83" s="38" t="s">
        <v>149</v>
      </c>
      <c r="C83" s="8"/>
      <c r="D83" s="2"/>
      <c r="E83" s="87"/>
      <c r="F83" s="44" t="s">
        <v>150</v>
      </c>
      <c r="G83" s="96"/>
    </row>
    <row r="84" spans="1:7" ht="132" customHeight="1" x14ac:dyDescent="0.3">
      <c r="A84" s="4" t="s">
        <v>151</v>
      </c>
      <c r="B84" s="27" t="s">
        <v>152</v>
      </c>
      <c r="C84" s="8"/>
      <c r="D84" s="2"/>
      <c r="E84" s="8"/>
      <c r="F84" s="101" t="s">
        <v>153</v>
      </c>
      <c r="G84" s="96"/>
    </row>
    <row r="85" spans="1:7" ht="126.75" customHeight="1" x14ac:dyDescent="0.3">
      <c r="A85" s="5" t="s">
        <v>154</v>
      </c>
      <c r="B85" s="29" t="s">
        <v>155</v>
      </c>
      <c r="C85" s="8"/>
      <c r="D85" s="2"/>
      <c r="E85" s="8"/>
      <c r="F85" s="104"/>
      <c r="G85" s="96"/>
    </row>
    <row r="86" spans="1:7" ht="126.75" customHeight="1" x14ac:dyDescent="0.3">
      <c r="A86" s="5" t="s">
        <v>156</v>
      </c>
      <c r="B86" s="29" t="s">
        <v>157</v>
      </c>
      <c r="C86" s="8"/>
      <c r="D86" s="2"/>
      <c r="E86" s="8"/>
      <c r="F86" s="104"/>
      <c r="G86" s="116"/>
    </row>
    <row r="87" spans="1:7" ht="126.75" customHeight="1" x14ac:dyDescent="0.3">
      <c r="A87" s="5" t="s">
        <v>158</v>
      </c>
      <c r="B87" s="29" t="s">
        <v>159</v>
      </c>
      <c r="C87" s="8"/>
      <c r="D87" s="2"/>
      <c r="E87" s="8"/>
      <c r="F87" s="104"/>
      <c r="G87" s="116"/>
    </row>
    <row r="88" spans="1:7" ht="126.75" customHeight="1" x14ac:dyDescent="0.3">
      <c r="A88" s="5" t="s">
        <v>160</v>
      </c>
      <c r="B88" s="29" t="s">
        <v>161</v>
      </c>
      <c r="C88" s="8"/>
      <c r="D88" s="2"/>
      <c r="E88" s="8"/>
      <c r="F88" s="104"/>
      <c r="G88" s="116"/>
    </row>
    <row r="89" spans="1:7" ht="126.75" customHeight="1" x14ac:dyDescent="0.3">
      <c r="A89" s="32" t="s">
        <v>162</v>
      </c>
      <c r="B89" s="33" t="s">
        <v>163</v>
      </c>
      <c r="C89" s="8"/>
      <c r="D89" s="2"/>
      <c r="E89" s="8"/>
      <c r="F89" s="104"/>
      <c r="G89" s="116"/>
    </row>
    <row r="90" spans="1:7" ht="15" x14ac:dyDescent="0.3">
      <c r="A90" s="4" t="s">
        <v>164</v>
      </c>
      <c r="B90" s="27" t="s">
        <v>165</v>
      </c>
      <c r="C90" s="8"/>
      <c r="D90" s="2"/>
      <c r="E90" s="88"/>
      <c r="F90" s="97" t="s">
        <v>166</v>
      </c>
    </row>
    <row r="91" spans="1:7" x14ac:dyDescent="0.3">
      <c r="A91" s="5" t="s">
        <v>167</v>
      </c>
      <c r="B91" s="29" t="s">
        <v>168</v>
      </c>
      <c r="C91" s="8"/>
      <c r="D91" s="2"/>
      <c r="E91" s="8"/>
      <c r="F91" s="103"/>
    </row>
    <row r="92" spans="1:7" ht="26.4" x14ac:dyDescent="0.3">
      <c r="A92" s="5" t="s">
        <v>169</v>
      </c>
      <c r="B92" s="29" t="s">
        <v>170</v>
      </c>
      <c r="C92" s="8"/>
      <c r="D92" s="2"/>
      <c r="E92" s="8"/>
      <c r="F92" s="98"/>
    </row>
    <row r="93" spans="1:7" x14ac:dyDescent="0.3">
      <c r="A93" s="5" t="s">
        <v>171</v>
      </c>
      <c r="B93" s="29" t="s">
        <v>172</v>
      </c>
      <c r="C93" s="8"/>
      <c r="D93" s="2"/>
      <c r="E93" s="89"/>
      <c r="F93" s="98"/>
    </row>
    <row r="94" spans="1:7" x14ac:dyDescent="0.3">
      <c r="A94" s="54"/>
      <c r="B94" s="55"/>
      <c r="C94" s="56"/>
      <c r="D94" s="68"/>
      <c r="E94" s="68"/>
      <c r="F94" s="57"/>
    </row>
    <row r="95" spans="1:7" ht="19.2" x14ac:dyDescent="0.3">
      <c r="A95" s="3" t="s">
        <v>173</v>
      </c>
      <c r="B95" s="26" t="s">
        <v>174</v>
      </c>
      <c r="C95" s="8"/>
      <c r="D95" s="2"/>
      <c r="E95" s="8"/>
      <c r="F95" s="9"/>
    </row>
    <row r="96" spans="1:7" x14ac:dyDescent="0.3">
      <c r="A96" s="54"/>
      <c r="B96" s="55"/>
      <c r="C96" s="56"/>
      <c r="D96" s="68"/>
      <c r="E96" s="56"/>
      <c r="F96" s="57"/>
    </row>
    <row r="97" spans="1:6" ht="15" x14ac:dyDescent="0.3">
      <c r="A97" s="4" t="s">
        <v>175</v>
      </c>
      <c r="B97" s="27" t="s">
        <v>176</v>
      </c>
      <c r="C97" s="8"/>
      <c r="D97" s="2"/>
      <c r="E97" s="8"/>
      <c r="F97" s="101" t="s">
        <v>177</v>
      </c>
    </row>
    <row r="98" spans="1:6" x14ac:dyDescent="0.3">
      <c r="A98" s="5" t="s">
        <v>178</v>
      </c>
      <c r="B98" s="29" t="s">
        <v>179</v>
      </c>
      <c r="C98" s="8"/>
      <c r="D98" s="2"/>
      <c r="E98" s="8"/>
      <c r="F98" s="101"/>
    </row>
    <row r="99" spans="1:6" x14ac:dyDescent="0.3">
      <c r="A99" s="5" t="s">
        <v>180</v>
      </c>
      <c r="B99" s="29" t="s">
        <v>181</v>
      </c>
      <c r="C99" s="8"/>
      <c r="D99" s="2"/>
      <c r="E99" s="8"/>
      <c r="F99" s="101"/>
    </row>
    <row r="100" spans="1:6" x14ac:dyDescent="0.3">
      <c r="A100" s="5" t="s">
        <v>182</v>
      </c>
      <c r="B100" s="29" t="s">
        <v>183</v>
      </c>
      <c r="C100" s="8"/>
      <c r="D100" s="2"/>
      <c r="E100" s="8"/>
      <c r="F100" s="101"/>
    </row>
    <row r="101" spans="1:6" x14ac:dyDescent="0.3">
      <c r="A101" s="5" t="s">
        <v>184</v>
      </c>
      <c r="B101" s="29" t="s">
        <v>185</v>
      </c>
      <c r="C101" s="8"/>
      <c r="D101" s="2"/>
      <c r="E101" s="8"/>
      <c r="F101" s="101"/>
    </row>
    <row r="102" spans="1:6" x14ac:dyDescent="0.3">
      <c r="A102" s="5" t="s">
        <v>186</v>
      </c>
      <c r="B102" s="29" t="s">
        <v>187</v>
      </c>
      <c r="C102" s="8"/>
      <c r="D102" s="2"/>
      <c r="E102" s="8"/>
      <c r="F102" s="101"/>
    </row>
    <row r="103" spans="1:6" x14ac:dyDescent="0.3">
      <c r="A103" s="5" t="s">
        <v>188</v>
      </c>
      <c r="B103" s="29" t="s">
        <v>189</v>
      </c>
      <c r="C103" s="8"/>
      <c r="D103" s="2"/>
      <c r="E103" s="8"/>
      <c r="F103" s="101"/>
    </row>
    <row r="104" spans="1:6" x14ac:dyDescent="0.3">
      <c r="A104" s="5" t="s">
        <v>190</v>
      </c>
      <c r="B104" s="29" t="s">
        <v>191</v>
      </c>
      <c r="C104" s="8"/>
      <c r="D104" s="2"/>
      <c r="E104" s="8"/>
      <c r="F104" s="101"/>
    </row>
    <row r="105" spans="1:6" x14ac:dyDescent="0.3">
      <c r="A105" s="5" t="s">
        <v>192</v>
      </c>
      <c r="B105" s="29" t="s">
        <v>193</v>
      </c>
      <c r="C105" s="8"/>
      <c r="D105" s="2"/>
      <c r="E105" s="8"/>
      <c r="F105" s="101"/>
    </row>
    <row r="106" spans="1:6" x14ac:dyDescent="0.3">
      <c r="A106" s="5" t="s">
        <v>194</v>
      </c>
      <c r="B106" s="29" t="s">
        <v>195</v>
      </c>
      <c r="C106" s="8"/>
      <c r="D106" s="2"/>
      <c r="E106" s="8"/>
      <c r="F106" s="102"/>
    </row>
    <row r="107" spans="1:6" ht="15" x14ac:dyDescent="0.3">
      <c r="A107" s="4" t="s">
        <v>196</v>
      </c>
      <c r="B107" s="27" t="s">
        <v>197</v>
      </c>
      <c r="C107" s="8"/>
      <c r="D107" s="2"/>
      <c r="E107" s="8"/>
      <c r="F107" s="100" t="s">
        <v>198</v>
      </c>
    </row>
    <row r="108" spans="1:6" x14ac:dyDescent="0.3">
      <c r="A108" s="5" t="s">
        <v>199</v>
      </c>
      <c r="B108" s="29" t="s">
        <v>200</v>
      </c>
      <c r="C108" s="8"/>
      <c r="D108" s="2"/>
      <c r="E108" s="8"/>
      <c r="F108" s="101"/>
    </row>
    <row r="109" spans="1:6" x14ac:dyDescent="0.3">
      <c r="A109" s="5" t="s">
        <v>201</v>
      </c>
      <c r="B109" s="29" t="s">
        <v>202</v>
      </c>
      <c r="C109" s="8"/>
      <c r="D109" s="2"/>
      <c r="E109" s="8"/>
      <c r="F109" s="101"/>
    </row>
    <row r="110" spans="1:6" x14ac:dyDescent="0.3">
      <c r="A110" s="5" t="s">
        <v>203</v>
      </c>
      <c r="B110" s="29" t="s">
        <v>204</v>
      </c>
      <c r="C110" s="8"/>
      <c r="D110" s="2"/>
      <c r="E110" s="8"/>
      <c r="F110" s="101"/>
    </row>
    <row r="111" spans="1:6" x14ac:dyDescent="0.3">
      <c r="A111" s="5" t="s">
        <v>205</v>
      </c>
      <c r="B111" s="29" t="s">
        <v>206</v>
      </c>
      <c r="C111" s="8"/>
      <c r="D111" s="2"/>
      <c r="E111" s="8"/>
      <c r="F111" s="101"/>
    </row>
    <row r="112" spans="1:6" x14ac:dyDescent="0.3">
      <c r="A112" s="5" t="s">
        <v>207</v>
      </c>
      <c r="B112" s="29" t="s">
        <v>208</v>
      </c>
      <c r="C112" s="8"/>
      <c r="D112" s="2"/>
      <c r="E112" s="8"/>
      <c r="F112" s="101"/>
    </row>
    <row r="113" spans="1:6" x14ac:dyDescent="0.3">
      <c r="A113" s="5" t="s">
        <v>209</v>
      </c>
      <c r="B113" s="29" t="s">
        <v>210</v>
      </c>
      <c r="C113" s="8"/>
      <c r="D113" s="2"/>
      <c r="E113" s="8"/>
      <c r="F113" s="101"/>
    </row>
    <row r="114" spans="1:6" x14ac:dyDescent="0.3">
      <c r="A114" s="5" t="s">
        <v>211</v>
      </c>
      <c r="B114" s="29" t="s">
        <v>212</v>
      </c>
      <c r="C114" s="8"/>
      <c r="D114" s="2"/>
      <c r="E114" s="8"/>
      <c r="F114" s="102"/>
    </row>
    <row r="115" spans="1:6" ht="30" x14ac:dyDescent="0.3">
      <c r="A115" s="4" t="s">
        <v>213</v>
      </c>
      <c r="B115" s="27" t="s">
        <v>214</v>
      </c>
      <c r="C115" s="8"/>
      <c r="D115" s="2"/>
      <c r="E115" s="8"/>
      <c r="F115" s="11"/>
    </row>
    <row r="116" spans="1:6" x14ac:dyDescent="0.3">
      <c r="A116" s="5" t="s">
        <v>215</v>
      </c>
      <c r="B116" s="29" t="s">
        <v>216</v>
      </c>
      <c r="C116" s="8"/>
      <c r="D116" s="2"/>
      <c r="E116" s="8"/>
      <c r="F116" s="9"/>
    </row>
    <row r="117" spans="1:6" x14ac:dyDescent="0.3">
      <c r="A117" s="5" t="s">
        <v>217</v>
      </c>
      <c r="B117" s="29" t="s">
        <v>218</v>
      </c>
      <c r="C117" s="8"/>
      <c r="D117" s="2"/>
      <c r="E117" s="8"/>
      <c r="F117" s="9"/>
    </row>
    <row r="118" spans="1:6" x14ac:dyDescent="0.3">
      <c r="A118" s="5" t="s">
        <v>219</v>
      </c>
      <c r="B118" s="29" t="s">
        <v>220</v>
      </c>
      <c r="C118" s="8"/>
      <c r="D118" s="2"/>
      <c r="E118" s="8"/>
      <c r="F118" s="9"/>
    </row>
    <row r="119" spans="1:6" x14ac:dyDescent="0.3">
      <c r="A119" s="54"/>
      <c r="B119" s="55"/>
      <c r="C119" s="56"/>
      <c r="D119" s="68"/>
      <c r="E119" s="56"/>
      <c r="F119" s="57"/>
    </row>
    <row r="120" spans="1:6" ht="19.2" x14ac:dyDescent="0.3">
      <c r="A120" s="3" t="s">
        <v>221</v>
      </c>
      <c r="B120" s="26" t="s">
        <v>222</v>
      </c>
      <c r="C120" s="8"/>
      <c r="D120" s="2"/>
      <c r="E120" s="8"/>
      <c r="F120" s="9"/>
    </row>
    <row r="121" spans="1:6" x14ac:dyDescent="0.3">
      <c r="A121" s="54"/>
      <c r="B121" s="90"/>
      <c r="C121" s="56"/>
      <c r="D121" s="68"/>
      <c r="E121" s="56"/>
      <c r="F121" s="57"/>
    </row>
    <row r="122" spans="1:6" ht="30" x14ac:dyDescent="0.3">
      <c r="A122" s="4" t="s">
        <v>223</v>
      </c>
      <c r="B122" s="27" t="s">
        <v>224</v>
      </c>
      <c r="C122" s="8"/>
      <c r="D122" s="2"/>
      <c r="E122" s="8"/>
      <c r="F122" s="9"/>
    </row>
    <row r="123" spans="1:6" ht="15" x14ac:dyDescent="0.3">
      <c r="A123" s="4" t="s">
        <v>225</v>
      </c>
      <c r="B123" s="27" t="s">
        <v>226</v>
      </c>
      <c r="C123" s="8"/>
      <c r="D123" s="2"/>
      <c r="E123" s="8"/>
      <c r="F123" s="9"/>
    </row>
    <row r="124" spans="1:6" ht="30" x14ac:dyDescent="0.3">
      <c r="A124" s="4" t="s">
        <v>227</v>
      </c>
      <c r="B124" s="27" t="s">
        <v>228</v>
      </c>
      <c r="C124" s="8"/>
      <c r="D124" s="2"/>
      <c r="E124" s="8"/>
      <c r="F124" s="9"/>
    </row>
    <row r="125" spans="1:6" ht="30" x14ac:dyDescent="0.3">
      <c r="A125" s="4" t="s">
        <v>229</v>
      </c>
      <c r="B125" s="27" t="s">
        <v>230</v>
      </c>
      <c r="C125" s="8"/>
      <c r="D125" s="2"/>
      <c r="E125" s="8"/>
      <c r="F125" s="9"/>
    </row>
    <row r="126" spans="1:6" x14ac:dyDescent="0.3">
      <c r="A126" s="54"/>
      <c r="B126" s="55"/>
      <c r="C126" s="56"/>
      <c r="D126" s="68"/>
      <c r="E126" s="56"/>
      <c r="F126" s="57"/>
    </row>
    <row r="127" spans="1:6" ht="19.2" x14ac:dyDescent="0.3">
      <c r="A127" s="3" t="s">
        <v>231</v>
      </c>
      <c r="B127" s="26" t="s">
        <v>232</v>
      </c>
      <c r="C127" s="8"/>
      <c r="D127" s="2"/>
      <c r="E127" s="8"/>
      <c r="F127" s="9"/>
    </row>
    <row r="128" spans="1:6" ht="19.2" x14ac:dyDescent="0.3">
      <c r="A128" s="58"/>
      <c r="B128" s="59"/>
      <c r="C128" s="56"/>
      <c r="D128" s="68"/>
      <c r="E128" s="56"/>
      <c r="F128" s="57"/>
    </row>
    <row r="129" spans="1:6" ht="30" x14ac:dyDescent="0.3">
      <c r="A129" s="4" t="s">
        <v>233</v>
      </c>
      <c r="B129" s="27" t="s">
        <v>234</v>
      </c>
      <c r="C129" s="8"/>
      <c r="D129" s="2"/>
      <c r="E129" s="8"/>
      <c r="F129" s="9"/>
    </row>
    <row r="130" spans="1:6" ht="30" x14ac:dyDescent="0.3">
      <c r="A130" s="4" t="s">
        <v>235</v>
      </c>
      <c r="B130" s="27" t="s">
        <v>236</v>
      </c>
      <c r="C130" s="8"/>
      <c r="D130" s="2"/>
      <c r="E130" s="8"/>
      <c r="F130" s="9"/>
    </row>
    <row r="131" spans="1:6" ht="15" x14ac:dyDescent="0.3">
      <c r="A131" s="4" t="s">
        <v>237</v>
      </c>
      <c r="B131" s="27" t="s">
        <v>238</v>
      </c>
      <c r="C131" s="8"/>
      <c r="D131" s="2"/>
      <c r="E131" s="8"/>
      <c r="F131" s="9"/>
    </row>
    <row r="132" spans="1:6" ht="45" x14ac:dyDescent="0.3">
      <c r="A132" s="6" t="s">
        <v>239</v>
      </c>
      <c r="B132" s="16" t="s">
        <v>240</v>
      </c>
      <c r="C132" s="85"/>
      <c r="D132" s="75"/>
      <c r="E132" s="74"/>
      <c r="F132" s="49"/>
    </row>
  </sheetData>
  <mergeCells count="13">
    <mergeCell ref="D1:D3"/>
    <mergeCell ref="F27:F28"/>
    <mergeCell ref="F33:F34"/>
    <mergeCell ref="F43:F44"/>
    <mergeCell ref="F97:F106"/>
    <mergeCell ref="F1:F3"/>
    <mergeCell ref="G80:G85"/>
    <mergeCell ref="F57:F59"/>
    <mergeCell ref="G86:G89"/>
    <mergeCell ref="F107:F114"/>
    <mergeCell ref="F90:F93"/>
    <mergeCell ref="F84:F89"/>
    <mergeCell ref="F72:F74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B036-828B-4BD5-8A93-2BF3D3F30396}">
  <dimension ref="A1:G133"/>
  <sheetViews>
    <sheetView showGridLines="0" tabSelected="1" zoomScaleNormal="100" workbookViewId="0">
      <selection activeCell="J31" sqref="J31"/>
    </sheetView>
  </sheetViews>
  <sheetFormatPr defaultRowHeight="14.4" x14ac:dyDescent="0.3"/>
  <cols>
    <col min="1" max="1" width="7.88671875" style="1" customWidth="1"/>
    <col min="2" max="2" width="68.6640625" style="31" customWidth="1"/>
    <col min="3" max="3" width="1.6640625" customWidth="1"/>
    <col min="4" max="4" width="18.5546875" customWidth="1"/>
    <col min="5" max="5" width="1.6640625" customWidth="1"/>
    <col min="6" max="6" width="88.6640625" customWidth="1"/>
    <col min="7" max="7" width="45.33203125" customWidth="1"/>
  </cols>
  <sheetData>
    <row r="1" spans="1:7" ht="17.25" customHeight="1" x14ac:dyDescent="0.3">
      <c r="A1" s="3"/>
      <c r="B1" s="24" t="s">
        <v>0</v>
      </c>
      <c r="C1" s="8"/>
      <c r="D1" s="106" t="s">
        <v>1</v>
      </c>
      <c r="E1" s="8"/>
      <c r="F1" s="111" t="s">
        <v>2</v>
      </c>
    </row>
    <row r="2" spans="1:7" ht="15" customHeight="1" x14ac:dyDescent="0.3">
      <c r="A2" s="15"/>
      <c r="B2" s="25"/>
      <c r="C2" s="8"/>
      <c r="D2" s="107"/>
      <c r="E2" s="8"/>
      <c r="F2" s="112"/>
    </row>
    <row r="3" spans="1:7" ht="19.2" x14ac:dyDescent="0.3">
      <c r="A3" s="3"/>
      <c r="B3" s="26" t="s">
        <v>3</v>
      </c>
      <c r="C3" s="8"/>
      <c r="D3" s="107"/>
      <c r="E3" s="8"/>
      <c r="F3" s="112"/>
    </row>
    <row r="4" spans="1:7" ht="19.2" x14ac:dyDescent="0.3">
      <c r="A4" s="58"/>
      <c r="B4" s="59"/>
      <c r="C4" s="56"/>
      <c r="D4" s="57"/>
      <c r="E4" s="8"/>
      <c r="F4" s="50"/>
    </row>
    <row r="5" spans="1:7" ht="15" x14ac:dyDescent="0.3">
      <c r="A5" s="4"/>
      <c r="B5" s="27" t="s">
        <v>4</v>
      </c>
      <c r="C5" s="8"/>
      <c r="D5" s="2"/>
      <c r="E5" s="8"/>
      <c r="F5" s="9"/>
    </row>
    <row r="6" spans="1:7" x14ac:dyDescent="0.3">
      <c r="A6" s="54"/>
      <c r="B6" s="55"/>
      <c r="C6" s="56"/>
      <c r="D6" s="57"/>
      <c r="E6" s="8"/>
      <c r="F6" s="50"/>
    </row>
    <row r="7" spans="1:7" ht="19.2" x14ac:dyDescent="0.3">
      <c r="A7" s="36">
        <f>A3+1</f>
        <v>1</v>
      </c>
      <c r="B7" s="35" t="s">
        <v>5</v>
      </c>
      <c r="C7" s="8"/>
      <c r="D7" s="2"/>
      <c r="E7" s="8"/>
      <c r="F7" s="9"/>
    </row>
    <row r="8" spans="1:7" x14ac:dyDescent="0.3">
      <c r="A8" s="54"/>
      <c r="B8" s="55"/>
      <c r="C8" s="56"/>
      <c r="D8" s="57"/>
      <c r="E8" s="8"/>
      <c r="F8" s="50"/>
    </row>
    <row r="9" spans="1:7" s="23" customFormat="1" ht="13.8" x14ac:dyDescent="0.3">
      <c r="A9" s="37" t="s">
        <v>6</v>
      </c>
      <c r="B9" s="38" t="s">
        <v>7</v>
      </c>
      <c r="C9" s="20"/>
      <c r="D9" s="21"/>
      <c r="E9" s="20"/>
      <c r="F9" s="22"/>
    </row>
    <row r="10" spans="1:7" s="23" customFormat="1" ht="13.8" x14ac:dyDescent="0.3">
      <c r="A10" s="37" t="s">
        <v>8</v>
      </c>
      <c r="B10" s="38" t="s">
        <v>9</v>
      </c>
      <c r="C10" s="20"/>
      <c r="D10" s="21"/>
      <c r="E10" s="20"/>
      <c r="F10" s="22"/>
    </row>
    <row r="11" spans="1:7" s="23" customFormat="1" ht="13.8" x14ac:dyDescent="0.3">
      <c r="A11" s="37" t="s">
        <v>10</v>
      </c>
      <c r="B11" s="38" t="s">
        <v>11</v>
      </c>
      <c r="C11" s="20"/>
      <c r="D11" s="21"/>
      <c r="E11" s="20"/>
      <c r="F11" s="22"/>
    </row>
    <row r="12" spans="1:7" s="23" customFormat="1" ht="13.8" x14ac:dyDescent="0.3">
      <c r="A12" s="37" t="s">
        <v>12</v>
      </c>
      <c r="B12" s="38" t="s">
        <v>13</v>
      </c>
      <c r="C12" s="20"/>
      <c r="D12" s="21"/>
      <c r="E12" s="20"/>
      <c r="F12" s="22"/>
    </row>
    <row r="13" spans="1:7" s="23" customFormat="1" x14ac:dyDescent="0.3">
      <c r="A13" s="37" t="s">
        <v>14</v>
      </c>
      <c r="B13" s="38" t="s">
        <v>15</v>
      </c>
      <c r="C13" s="20"/>
      <c r="D13" s="21"/>
      <c r="E13" s="20"/>
      <c r="F13" s="22"/>
      <c r="G13"/>
    </row>
    <row r="14" spans="1:7" s="23" customFormat="1" ht="15" x14ac:dyDescent="0.3">
      <c r="A14" s="4" t="s">
        <v>241</v>
      </c>
      <c r="B14" s="39" t="s">
        <v>242</v>
      </c>
      <c r="C14" s="20"/>
      <c r="D14" s="21"/>
      <c r="E14" s="40"/>
      <c r="F14" s="50"/>
      <c r="G14"/>
    </row>
    <row r="15" spans="1:7" s="23" customFormat="1" x14ac:dyDescent="0.3">
      <c r="A15" s="5" t="s">
        <v>243</v>
      </c>
      <c r="B15" s="29" t="s">
        <v>17</v>
      </c>
      <c r="C15" s="20"/>
      <c r="D15" s="21"/>
      <c r="E15" s="40"/>
      <c r="F15" s="48" t="s">
        <v>244</v>
      </c>
      <c r="G15"/>
    </row>
    <row r="16" spans="1:7" s="23" customFormat="1" x14ac:dyDescent="0.3">
      <c r="A16" s="52"/>
      <c r="B16" s="53"/>
      <c r="C16" s="64"/>
      <c r="D16" s="51"/>
      <c r="E16" s="51"/>
      <c r="F16" s="69"/>
      <c r="G16"/>
    </row>
    <row r="17" spans="1:6" ht="19.2" x14ac:dyDescent="0.3">
      <c r="A17" s="19">
        <f>A7+1</f>
        <v>2</v>
      </c>
      <c r="B17" s="26" t="s">
        <v>19</v>
      </c>
      <c r="C17" s="65"/>
      <c r="D17" s="2"/>
      <c r="E17" s="57"/>
      <c r="F17" s="47"/>
    </row>
    <row r="18" spans="1:6" x14ac:dyDescent="0.3">
      <c r="A18" s="54"/>
      <c r="B18" s="63"/>
      <c r="C18" s="66"/>
      <c r="D18" s="65"/>
      <c r="E18" s="68"/>
      <c r="F18" s="68"/>
    </row>
    <row r="19" spans="1:6" ht="15" x14ac:dyDescent="0.3">
      <c r="A19" s="30" t="s">
        <v>20</v>
      </c>
      <c r="B19" s="27" t="s">
        <v>21</v>
      </c>
      <c r="C19" s="8"/>
      <c r="D19" s="67"/>
      <c r="E19" s="65"/>
      <c r="F19" s="9"/>
    </row>
    <row r="20" spans="1:6" x14ac:dyDescent="0.3">
      <c r="A20" s="34" t="s">
        <v>22</v>
      </c>
      <c r="B20" s="29" t="s">
        <v>23</v>
      </c>
      <c r="C20" s="8"/>
      <c r="D20" s="2"/>
      <c r="E20" s="8"/>
      <c r="F20" s="9"/>
    </row>
    <row r="21" spans="1:6" x14ac:dyDescent="0.3">
      <c r="A21" s="34" t="s">
        <v>24</v>
      </c>
      <c r="B21" s="29" t="s">
        <v>25</v>
      </c>
      <c r="C21" s="8"/>
      <c r="D21" s="2"/>
      <c r="E21" s="8"/>
      <c r="F21" s="9"/>
    </row>
    <row r="22" spans="1:6" x14ac:dyDescent="0.3">
      <c r="A22" s="34" t="s">
        <v>26</v>
      </c>
      <c r="B22" s="29" t="s">
        <v>27</v>
      </c>
      <c r="C22" s="8"/>
      <c r="D22" s="2"/>
      <c r="E22" s="8"/>
      <c r="F22" s="9"/>
    </row>
    <row r="23" spans="1:6" x14ac:dyDescent="0.3">
      <c r="A23" s="34" t="s">
        <v>28</v>
      </c>
      <c r="B23" s="29" t="s">
        <v>29</v>
      </c>
      <c r="C23" s="8"/>
      <c r="D23" s="2"/>
      <c r="E23" s="8"/>
      <c r="F23" s="9"/>
    </row>
    <row r="24" spans="1:6" x14ac:dyDescent="0.3">
      <c r="A24" s="34" t="s">
        <v>30</v>
      </c>
      <c r="B24" s="29" t="s">
        <v>31</v>
      </c>
      <c r="C24" s="8"/>
      <c r="D24" s="2"/>
      <c r="E24" s="8"/>
      <c r="F24" s="9"/>
    </row>
    <row r="25" spans="1:6" x14ac:dyDescent="0.3">
      <c r="A25" s="34" t="s">
        <v>32</v>
      </c>
      <c r="B25" s="29" t="s">
        <v>33</v>
      </c>
      <c r="C25" s="8"/>
      <c r="D25" s="2"/>
      <c r="E25" s="8"/>
      <c r="F25" s="9"/>
    </row>
    <row r="26" spans="1:6" x14ac:dyDescent="0.3">
      <c r="A26" s="34" t="s">
        <v>34</v>
      </c>
      <c r="B26" s="29" t="s">
        <v>35</v>
      </c>
      <c r="C26" s="8"/>
      <c r="D26" s="2"/>
      <c r="E26" s="8"/>
      <c r="F26" s="9"/>
    </row>
    <row r="27" spans="1:6" ht="15" x14ac:dyDescent="0.3">
      <c r="A27" s="60" t="s">
        <v>36</v>
      </c>
      <c r="B27" s="61" t="s">
        <v>37</v>
      </c>
      <c r="C27" s="56"/>
      <c r="D27" s="62"/>
      <c r="E27" s="70"/>
      <c r="F27" s="71"/>
    </row>
    <row r="28" spans="1:6" ht="63.75" customHeight="1" x14ac:dyDescent="0.3">
      <c r="A28" s="34" t="s">
        <v>38</v>
      </c>
      <c r="B28" s="29" t="s">
        <v>39</v>
      </c>
      <c r="C28" s="8"/>
      <c r="D28" s="2"/>
      <c r="E28" s="65"/>
      <c r="F28" s="100" t="s">
        <v>245</v>
      </c>
    </row>
    <row r="29" spans="1:6" ht="63.75" customHeight="1" x14ac:dyDescent="0.3">
      <c r="A29" s="34" t="s">
        <v>41</v>
      </c>
      <c r="B29" s="29" t="s">
        <v>42</v>
      </c>
      <c r="C29" s="8"/>
      <c r="D29" s="2"/>
      <c r="E29" s="8"/>
      <c r="F29" s="108"/>
    </row>
    <row r="30" spans="1:6" x14ac:dyDescent="0.3">
      <c r="A30" s="34" t="s">
        <v>43</v>
      </c>
      <c r="B30" s="29" t="s">
        <v>44</v>
      </c>
      <c r="C30" s="8"/>
      <c r="D30" s="2"/>
      <c r="E30" s="8"/>
      <c r="F30" s="7" t="s">
        <v>246</v>
      </c>
    </row>
    <row r="31" spans="1:6" x14ac:dyDescent="0.3">
      <c r="A31" s="34" t="s">
        <v>46</v>
      </c>
      <c r="B31" s="29" t="s">
        <v>47</v>
      </c>
      <c r="C31" s="8"/>
      <c r="D31" s="2"/>
      <c r="E31" s="8"/>
      <c r="F31" s="7" t="s">
        <v>247</v>
      </c>
    </row>
    <row r="32" spans="1:6" x14ac:dyDescent="0.3">
      <c r="A32" s="72" t="s">
        <v>49</v>
      </c>
      <c r="B32" s="73" t="s">
        <v>50</v>
      </c>
      <c r="C32" s="74"/>
      <c r="D32" s="75"/>
      <c r="E32" s="74"/>
      <c r="F32" s="49"/>
    </row>
    <row r="33" spans="1:6" ht="15" x14ac:dyDescent="0.3">
      <c r="A33" s="30" t="s">
        <v>51</v>
      </c>
      <c r="B33" s="27" t="s">
        <v>52</v>
      </c>
      <c r="C33" s="8"/>
      <c r="D33" s="2"/>
      <c r="E33" s="8"/>
      <c r="F33" s="14"/>
    </row>
    <row r="34" spans="1:6" ht="39.75" customHeight="1" x14ac:dyDescent="0.3">
      <c r="A34" s="34" t="s">
        <v>53</v>
      </c>
      <c r="B34" s="29" t="s">
        <v>54</v>
      </c>
      <c r="C34" s="8"/>
      <c r="D34" s="2"/>
      <c r="E34" s="8"/>
      <c r="F34" s="109" t="s">
        <v>248</v>
      </c>
    </row>
    <row r="35" spans="1:6" ht="39.75" customHeight="1" x14ac:dyDescent="0.3">
      <c r="A35" s="34" t="s">
        <v>56</v>
      </c>
      <c r="B35" s="29" t="s">
        <v>57</v>
      </c>
      <c r="C35" s="8"/>
      <c r="D35" s="2"/>
      <c r="E35" s="8"/>
      <c r="F35" s="110"/>
    </row>
    <row r="36" spans="1:6" ht="15" x14ac:dyDescent="0.3">
      <c r="A36" s="30" t="s">
        <v>58</v>
      </c>
      <c r="B36" s="27" t="s">
        <v>59</v>
      </c>
      <c r="C36" s="8"/>
      <c r="D36" s="2"/>
      <c r="E36" s="8"/>
      <c r="F36" s="76"/>
    </row>
    <row r="37" spans="1:6" x14ac:dyDescent="0.3">
      <c r="A37" s="34" t="s">
        <v>60</v>
      </c>
      <c r="B37" s="29" t="s">
        <v>61</v>
      </c>
      <c r="C37" s="8"/>
      <c r="D37" s="2"/>
      <c r="E37" s="8"/>
      <c r="F37" s="9"/>
    </row>
    <row r="38" spans="1:6" x14ac:dyDescent="0.3">
      <c r="A38" s="72" t="s">
        <v>62</v>
      </c>
      <c r="B38" s="73" t="s">
        <v>63</v>
      </c>
      <c r="C38" s="74"/>
      <c r="D38" s="75"/>
      <c r="E38" s="74"/>
      <c r="F38" s="49"/>
    </row>
    <row r="39" spans="1:6" x14ac:dyDescent="0.3">
      <c r="A39" s="77"/>
      <c r="B39" s="55"/>
      <c r="C39" s="56"/>
      <c r="D39" s="68"/>
      <c r="E39" s="56"/>
      <c r="F39" s="68"/>
    </row>
    <row r="40" spans="1:6" ht="19.2" x14ac:dyDescent="0.3">
      <c r="A40" s="78" t="s">
        <v>64</v>
      </c>
      <c r="B40" s="79" t="s">
        <v>65</v>
      </c>
      <c r="C40" s="56"/>
      <c r="D40" s="80"/>
      <c r="E40" s="56"/>
      <c r="F40" s="45"/>
    </row>
    <row r="41" spans="1:6" x14ac:dyDescent="0.3">
      <c r="A41" s="77"/>
      <c r="B41" s="55"/>
      <c r="C41" s="56"/>
      <c r="D41" s="68"/>
      <c r="E41" s="56"/>
      <c r="F41" s="68"/>
    </row>
    <row r="42" spans="1:6" ht="15" x14ac:dyDescent="0.3">
      <c r="A42" s="4" t="s">
        <v>66</v>
      </c>
      <c r="B42" s="27" t="s">
        <v>67</v>
      </c>
      <c r="C42" s="8"/>
      <c r="D42" s="2"/>
      <c r="E42" s="8"/>
      <c r="F42" s="9"/>
    </row>
    <row r="43" spans="1:6" ht="15" x14ac:dyDescent="0.3">
      <c r="A43" s="4" t="s">
        <v>68</v>
      </c>
      <c r="B43" s="27" t="s">
        <v>69</v>
      </c>
      <c r="C43" s="8"/>
      <c r="D43" s="2"/>
      <c r="E43" s="8"/>
      <c r="F43" s="10"/>
    </row>
    <row r="44" spans="1:6" ht="36.75" customHeight="1" x14ac:dyDescent="0.3">
      <c r="A44" s="5" t="s">
        <v>70</v>
      </c>
      <c r="B44" s="29" t="s">
        <v>71</v>
      </c>
      <c r="C44" s="8"/>
      <c r="D44" s="2"/>
      <c r="E44" s="8"/>
      <c r="F44" s="100" t="s">
        <v>249</v>
      </c>
    </row>
    <row r="45" spans="1:6" ht="36.75" customHeight="1" x14ac:dyDescent="0.3">
      <c r="A45" s="5" t="s">
        <v>73</v>
      </c>
      <c r="B45" s="29" t="s">
        <v>74</v>
      </c>
      <c r="C45" s="8"/>
      <c r="D45" s="2"/>
      <c r="E45" s="8"/>
      <c r="F45" s="108"/>
    </row>
    <row r="46" spans="1:6" ht="15" x14ac:dyDescent="0.3">
      <c r="A46" s="4" t="s">
        <v>75</v>
      </c>
      <c r="B46" s="27" t="s">
        <v>76</v>
      </c>
      <c r="C46" s="8"/>
      <c r="D46" s="2"/>
      <c r="E46" s="8"/>
      <c r="F46" s="11"/>
    </row>
    <row r="47" spans="1:6" x14ac:dyDescent="0.3">
      <c r="A47" s="5" t="s">
        <v>77</v>
      </c>
      <c r="B47" s="29" t="s">
        <v>78</v>
      </c>
      <c r="C47" s="8"/>
      <c r="D47" s="2"/>
      <c r="E47" s="8"/>
      <c r="F47" s="9"/>
    </row>
    <row r="48" spans="1:6" x14ac:dyDescent="0.3">
      <c r="A48" s="5" t="s">
        <v>79</v>
      </c>
      <c r="B48" s="29" t="s">
        <v>80</v>
      </c>
      <c r="C48" s="8"/>
      <c r="D48" s="2"/>
      <c r="E48" s="8"/>
      <c r="F48" s="9"/>
    </row>
    <row r="49" spans="1:6" x14ac:dyDescent="0.3">
      <c r="A49" s="5" t="s">
        <v>81</v>
      </c>
      <c r="B49" s="29" t="s">
        <v>82</v>
      </c>
      <c r="C49" s="8"/>
      <c r="D49" s="2"/>
      <c r="E49" s="8"/>
      <c r="F49" s="9"/>
    </row>
    <row r="50" spans="1:6" ht="15" x14ac:dyDescent="0.3">
      <c r="A50" s="4" t="s">
        <v>83</v>
      </c>
      <c r="B50" s="27" t="s">
        <v>84</v>
      </c>
      <c r="C50" s="8"/>
      <c r="D50" s="2"/>
      <c r="E50" s="8"/>
      <c r="F50" s="9"/>
    </row>
    <row r="51" spans="1:6" x14ac:dyDescent="0.3">
      <c r="A51" s="5" t="s">
        <v>85</v>
      </c>
      <c r="B51" s="29" t="s">
        <v>86</v>
      </c>
      <c r="C51" s="8"/>
      <c r="D51" s="2"/>
      <c r="E51" s="8"/>
      <c r="F51" s="9"/>
    </row>
    <row r="52" spans="1:6" x14ac:dyDescent="0.3">
      <c r="A52" s="5" t="s">
        <v>87</v>
      </c>
      <c r="B52" s="29" t="s">
        <v>88</v>
      </c>
      <c r="C52" s="8"/>
      <c r="D52" s="2"/>
      <c r="E52" s="8"/>
      <c r="F52" s="9"/>
    </row>
    <row r="53" spans="1:6" x14ac:dyDescent="0.3">
      <c r="A53" s="5" t="s">
        <v>89</v>
      </c>
      <c r="B53" s="29" t="s">
        <v>90</v>
      </c>
      <c r="C53" s="8"/>
      <c r="D53" s="2"/>
      <c r="E53" s="8"/>
      <c r="F53" s="9"/>
    </row>
    <row r="54" spans="1:6" x14ac:dyDescent="0.3">
      <c r="A54" s="54"/>
      <c r="B54" s="55"/>
      <c r="C54" s="56"/>
      <c r="D54" s="68"/>
      <c r="E54" s="56"/>
      <c r="F54" s="57"/>
    </row>
    <row r="55" spans="1:6" ht="19.2" x14ac:dyDescent="0.3">
      <c r="A55" s="3" t="s">
        <v>91</v>
      </c>
      <c r="B55" s="26" t="s">
        <v>92</v>
      </c>
      <c r="C55" s="8"/>
      <c r="D55" s="2"/>
      <c r="E55" s="8"/>
      <c r="F55" s="9"/>
    </row>
    <row r="56" spans="1:6" x14ac:dyDescent="0.3">
      <c r="A56" s="54"/>
      <c r="B56" s="55"/>
      <c r="C56" s="56"/>
      <c r="D56" s="68"/>
      <c r="E56" s="56"/>
      <c r="F56" s="57"/>
    </row>
    <row r="57" spans="1:6" ht="15" x14ac:dyDescent="0.3">
      <c r="A57" s="4" t="s">
        <v>93</v>
      </c>
      <c r="B57" s="27" t="s">
        <v>94</v>
      </c>
      <c r="C57" s="8"/>
      <c r="D57" s="2"/>
      <c r="E57" s="8"/>
      <c r="F57" s="9"/>
    </row>
    <row r="58" spans="1:6" ht="57.6" x14ac:dyDescent="0.3">
      <c r="A58" s="5" t="s">
        <v>95</v>
      </c>
      <c r="B58" s="29" t="s">
        <v>96</v>
      </c>
      <c r="C58" s="8"/>
      <c r="D58" s="2"/>
      <c r="E58" s="8"/>
      <c r="F58" s="92" t="s">
        <v>250</v>
      </c>
    </row>
    <row r="59" spans="1:6" x14ac:dyDescent="0.3">
      <c r="A59" s="5" t="s">
        <v>98</v>
      </c>
      <c r="B59" s="29" t="s">
        <v>99</v>
      </c>
      <c r="C59" s="8"/>
      <c r="D59" s="2"/>
      <c r="E59" s="8"/>
      <c r="F59" s="93" t="s">
        <v>251</v>
      </c>
    </row>
    <row r="60" spans="1:6" ht="43.2" x14ac:dyDescent="0.3">
      <c r="A60" s="5" t="s">
        <v>100</v>
      </c>
      <c r="B60" s="29" t="s">
        <v>101</v>
      </c>
      <c r="C60" s="8"/>
      <c r="D60" s="2"/>
      <c r="E60" s="8"/>
      <c r="F60" s="94" t="s">
        <v>252</v>
      </c>
    </row>
    <row r="61" spans="1:6" x14ac:dyDescent="0.3">
      <c r="A61" s="12"/>
      <c r="B61" s="28"/>
      <c r="C61" s="8"/>
      <c r="D61" s="13"/>
      <c r="E61" s="8"/>
      <c r="F61" s="13"/>
    </row>
    <row r="62" spans="1:6" ht="19.2" x14ac:dyDescent="0.3">
      <c r="A62" s="3" t="s">
        <v>102</v>
      </c>
      <c r="B62" s="26" t="s">
        <v>103</v>
      </c>
      <c r="C62" s="8"/>
      <c r="D62" s="2"/>
      <c r="E62" s="8"/>
      <c r="F62" s="47"/>
    </row>
    <row r="63" spans="1:6" x14ac:dyDescent="0.3">
      <c r="A63" s="12"/>
      <c r="B63" s="28"/>
      <c r="C63" s="8"/>
      <c r="D63" s="13"/>
      <c r="E63" s="8"/>
      <c r="F63" s="46"/>
    </row>
    <row r="64" spans="1:6" ht="15" x14ac:dyDescent="0.3">
      <c r="A64" s="4" t="s">
        <v>104</v>
      </c>
      <c r="B64" s="27" t="s">
        <v>105</v>
      </c>
      <c r="C64" s="8"/>
      <c r="D64" s="2"/>
      <c r="E64" s="8"/>
      <c r="F64" s="9"/>
    </row>
    <row r="65" spans="1:6" x14ac:dyDescent="0.3">
      <c r="A65" s="5" t="s">
        <v>106</v>
      </c>
      <c r="B65" s="29" t="s">
        <v>107</v>
      </c>
      <c r="C65" s="8"/>
      <c r="D65" s="2"/>
      <c r="E65" s="8"/>
      <c r="F65" s="9"/>
    </row>
    <row r="66" spans="1:6" x14ac:dyDescent="0.3">
      <c r="A66" s="5" t="s">
        <v>108</v>
      </c>
      <c r="B66" s="29" t="s">
        <v>109</v>
      </c>
      <c r="C66" s="8"/>
      <c r="D66" s="2"/>
      <c r="E66" s="8"/>
      <c r="F66" s="9"/>
    </row>
    <row r="67" spans="1:6" x14ac:dyDescent="0.3">
      <c r="A67" s="5" t="s">
        <v>110</v>
      </c>
      <c r="B67" s="29" t="s">
        <v>111</v>
      </c>
      <c r="C67" s="8"/>
      <c r="D67" s="2"/>
      <c r="E67" s="8"/>
      <c r="F67" s="9"/>
    </row>
    <row r="68" spans="1:6" ht="26.4" x14ac:dyDescent="0.3">
      <c r="A68" s="5" t="s">
        <v>112</v>
      </c>
      <c r="B68" s="29" t="s">
        <v>113</v>
      </c>
      <c r="C68" s="8"/>
      <c r="D68" s="2"/>
      <c r="E68" s="8"/>
      <c r="F68" s="9"/>
    </row>
    <row r="69" spans="1:6" ht="15" x14ac:dyDescent="0.3">
      <c r="A69" s="81" t="s">
        <v>114</v>
      </c>
      <c r="B69" s="61" t="s">
        <v>115</v>
      </c>
      <c r="C69" s="56"/>
      <c r="D69" s="80"/>
      <c r="E69" s="56"/>
      <c r="F69" s="82"/>
    </row>
    <row r="70" spans="1:6" ht="72" x14ac:dyDescent="0.3">
      <c r="A70" s="5" t="s">
        <v>116</v>
      </c>
      <c r="B70" s="29" t="s">
        <v>117</v>
      </c>
      <c r="C70" s="8"/>
      <c r="D70" s="2"/>
      <c r="E70" s="8"/>
      <c r="F70" s="91" t="s">
        <v>253</v>
      </c>
    </row>
    <row r="71" spans="1:6" ht="28.8" x14ac:dyDescent="0.3">
      <c r="A71" s="5" t="s">
        <v>119</v>
      </c>
      <c r="B71" s="29" t="s">
        <v>120</v>
      </c>
      <c r="C71" s="8"/>
      <c r="D71" s="2"/>
      <c r="E71" s="8"/>
      <c r="F71" s="18" t="s">
        <v>254</v>
      </c>
    </row>
    <row r="72" spans="1:6" ht="15" x14ac:dyDescent="0.3">
      <c r="A72" s="81" t="s">
        <v>122</v>
      </c>
      <c r="B72" s="61" t="s">
        <v>123</v>
      </c>
      <c r="C72" s="56"/>
      <c r="D72" s="80"/>
      <c r="E72" s="56"/>
      <c r="F72" s="82"/>
    </row>
    <row r="73" spans="1:6" x14ac:dyDescent="0.3">
      <c r="A73" s="5" t="s">
        <v>124</v>
      </c>
      <c r="B73" s="29" t="s">
        <v>125</v>
      </c>
      <c r="C73" s="8"/>
      <c r="D73" s="2"/>
      <c r="E73" s="8"/>
      <c r="F73" s="101" t="s">
        <v>255</v>
      </c>
    </row>
    <row r="74" spans="1:6" x14ac:dyDescent="0.3">
      <c r="A74" s="5" t="s">
        <v>127</v>
      </c>
      <c r="B74" s="29" t="s">
        <v>128</v>
      </c>
      <c r="C74" s="8"/>
      <c r="D74" s="2"/>
      <c r="E74" s="8"/>
      <c r="F74" s="101"/>
    </row>
    <row r="75" spans="1:6" x14ac:dyDescent="0.3">
      <c r="A75" s="5" t="s">
        <v>129</v>
      </c>
      <c r="B75" s="29" t="s">
        <v>130</v>
      </c>
      <c r="C75" s="8"/>
      <c r="D75" s="2"/>
      <c r="E75" s="8"/>
      <c r="F75" s="105"/>
    </row>
    <row r="76" spans="1:6" x14ac:dyDescent="0.3">
      <c r="A76" s="12"/>
      <c r="B76" s="28"/>
      <c r="C76" s="8"/>
      <c r="D76" s="13"/>
      <c r="E76" s="8"/>
      <c r="F76" s="13"/>
    </row>
    <row r="77" spans="1:6" ht="19.2" x14ac:dyDescent="0.3">
      <c r="A77" s="84" t="s">
        <v>131</v>
      </c>
      <c r="B77" s="79" t="s">
        <v>132</v>
      </c>
      <c r="C77" s="56"/>
      <c r="D77" s="80"/>
      <c r="E77" s="56"/>
      <c r="F77" s="82"/>
    </row>
    <row r="78" spans="1:6" x14ac:dyDescent="0.3">
      <c r="A78" s="54"/>
      <c r="B78" s="55"/>
      <c r="C78" s="56"/>
      <c r="D78" s="68"/>
      <c r="E78" s="56"/>
      <c r="F78" s="57"/>
    </row>
    <row r="79" spans="1:6" ht="15" x14ac:dyDescent="0.3">
      <c r="A79" s="4" t="s">
        <v>133</v>
      </c>
      <c r="B79" s="27" t="s">
        <v>134</v>
      </c>
      <c r="C79" s="8"/>
      <c r="D79" s="2"/>
      <c r="E79" s="8"/>
      <c r="F79" s="42" t="s">
        <v>135</v>
      </c>
    </row>
    <row r="80" spans="1:6" ht="28.8" x14ac:dyDescent="0.3">
      <c r="A80" s="41" t="s">
        <v>136</v>
      </c>
      <c r="B80" s="29" t="s">
        <v>137</v>
      </c>
      <c r="C80" s="8"/>
      <c r="D80" s="2"/>
      <c r="E80" s="8"/>
      <c r="F80" s="42" t="s">
        <v>256</v>
      </c>
    </row>
    <row r="81" spans="1:7" ht="43.2" x14ac:dyDescent="0.3">
      <c r="A81" s="5" t="s">
        <v>139</v>
      </c>
      <c r="B81" s="29" t="s">
        <v>140</v>
      </c>
      <c r="C81" s="8"/>
      <c r="D81" s="2"/>
      <c r="E81" s="8"/>
      <c r="F81" s="42" t="s">
        <v>141</v>
      </c>
      <c r="G81" s="95"/>
    </row>
    <row r="82" spans="1:7" x14ac:dyDescent="0.3">
      <c r="A82" s="5" t="s">
        <v>142</v>
      </c>
      <c r="B82" s="29" t="s">
        <v>143</v>
      </c>
      <c r="C82" s="8"/>
      <c r="D82" s="2"/>
      <c r="E82" s="8"/>
      <c r="F82" s="43" t="s">
        <v>144</v>
      </c>
      <c r="G82" s="95"/>
    </row>
    <row r="83" spans="1:7" ht="72" x14ac:dyDescent="0.3">
      <c r="A83" s="5" t="s">
        <v>145</v>
      </c>
      <c r="B83" s="29" t="s">
        <v>146</v>
      </c>
      <c r="C83" s="8"/>
      <c r="D83" s="2"/>
      <c r="E83" s="85"/>
      <c r="F83" s="86" t="s">
        <v>257</v>
      </c>
      <c r="G83" s="96"/>
    </row>
    <row r="84" spans="1:7" ht="86.4" x14ac:dyDescent="0.3">
      <c r="A84" s="37" t="s">
        <v>148</v>
      </c>
      <c r="B84" s="38" t="s">
        <v>149</v>
      </c>
      <c r="C84" s="8"/>
      <c r="D84" s="2"/>
      <c r="E84" s="87"/>
      <c r="F84" s="44" t="s">
        <v>258</v>
      </c>
      <c r="G84" s="96"/>
    </row>
    <row r="85" spans="1:7" ht="126.75" customHeight="1" x14ac:dyDescent="0.3">
      <c r="A85" s="4" t="s">
        <v>151</v>
      </c>
      <c r="B85" s="27" t="s">
        <v>152</v>
      </c>
      <c r="C85" s="8"/>
      <c r="D85" s="2"/>
      <c r="E85" s="8"/>
      <c r="F85" s="101" t="s">
        <v>259</v>
      </c>
      <c r="G85" s="96"/>
    </row>
    <row r="86" spans="1:7" ht="126.75" customHeight="1" x14ac:dyDescent="0.3">
      <c r="A86" s="5" t="s">
        <v>154</v>
      </c>
      <c r="B86" s="29" t="s">
        <v>155</v>
      </c>
      <c r="C86" s="8"/>
      <c r="D86" s="2"/>
      <c r="E86" s="8"/>
      <c r="F86" s="104"/>
      <c r="G86" s="96"/>
    </row>
    <row r="87" spans="1:7" ht="126.75" customHeight="1" x14ac:dyDescent="0.3">
      <c r="A87" s="5" t="s">
        <v>156</v>
      </c>
      <c r="B87" s="29" t="s">
        <v>157</v>
      </c>
      <c r="C87" s="8"/>
      <c r="D87" s="2"/>
      <c r="E87" s="8"/>
      <c r="F87" s="104"/>
      <c r="G87" s="117"/>
    </row>
    <row r="88" spans="1:7" ht="126.75" customHeight="1" x14ac:dyDescent="0.3">
      <c r="A88" s="5" t="s">
        <v>158</v>
      </c>
      <c r="B88" s="29" t="s">
        <v>159</v>
      </c>
      <c r="C88" s="8"/>
      <c r="D88" s="2"/>
      <c r="E88" s="8"/>
      <c r="F88" s="104"/>
      <c r="G88" s="117"/>
    </row>
    <row r="89" spans="1:7" ht="126.75" customHeight="1" x14ac:dyDescent="0.3">
      <c r="A89" s="5" t="s">
        <v>160</v>
      </c>
      <c r="B89" s="29" t="s">
        <v>161</v>
      </c>
      <c r="C89" s="8"/>
      <c r="D89" s="2"/>
      <c r="E89" s="8"/>
      <c r="F89" s="104"/>
      <c r="G89" s="117"/>
    </row>
    <row r="90" spans="1:7" ht="126.75" customHeight="1" x14ac:dyDescent="0.3">
      <c r="A90" s="32" t="s">
        <v>162</v>
      </c>
      <c r="B90" s="33" t="s">
        <v>163</v>
      </c>
      <c r="C90" s="8"/>
      <c r="D90" s="2"/>
      <c r="E90" s="8"/>
      <c r="F90" s="104"/>
      <c r="G90" s="117"/>
    </row>
    <row r="91" spans="1:7" ht="15" x14ac:dyDescent="0.3">
      <c r="A91" s="4" t="s">
        <v>164</v>
      </c>
      <c r="B91" s="27" t="s">
        <v>165</v>
      </c>
      <c r="C91" s="8"/>
      <c r="D91" s="2"/>
      <c r="E91" s="88"/>
      <c r="F91" s="97" t="s">
        <v>260</v>
      </c>
    </row>
    <row r="92" spans="1:7" x14ac:dyDescent="0.3">
      <c r="A92" s="5" t="s">
        <v>167</v>
      </c>
      <c r="B92" s="29" t="s">
        <v>168</v>
      </c>
      <c r="C92" s="8"/>
      <c r="D92" s="2"/>
      <c r="E92" s="8"/>
      <c r="F92" s="103"/>
    </row>
    <row r="93" spans="1:7" x14ac:dyDescent="0.3">
      <c r="A93" s="5" t="s">
        <v>169</v>
      </c>
      <c r="B93" s="29" t="s">
        <v>170</v>
      </c>
      <c r="C93" s="8"/>
      <c r="D93" s="2"/>
      <c r="E93" s="8"/>
      <c r="F93" s="98"/>
    </row>
    <row r="94" spans="1:7" x14ac:dyDescent="0.3">
      <c r="A94" s="5" t="s">
        <v>171</v>
      </c>
      <c r="B94" s="29" t="s">
        <v>172</v>
      </c>
      <c r="C94" s="8"/>
      <c r="D94" s="2"/>
      <c r="E94" s="89"/>
      <c r="F94" s="98"/>
    </row>
    <row r="95" spans="1:7" x14ac:dyDescent="0.3">
      <c r="A95" s="54"/>
      <c r="B95" s="55"/>
      <c r="C95" s="56"/>
      <c r="D95" s="68"/>
      <c r="E95" s="68"/>
      <c r="F95" s="57"/>
    </row>
    <row r="96" spans="1:7" ht="19.2" x14ac:dyDescent="0.3">
      <c r="A96" s="3" t="s">
        <v>173</v>
      </c>
      <c r="B96" s="26" t="s">
        <v>174</v>
      </c>
      <c r="C96" s="8"/>
      <c r="D96" s="2"/>
      <c r="E96" s="8"/>
      <c r="F96" s="9"/>
    </row>
    <row r="97" spans="1:6" x14ac:dyDescent="0.3">
      <c r="A97" s="54"/>
      <c r="B97" s="55"/>
      <c r="C97" s="56"/>
      <c r="D97" s="68"/>
      <c r="E97" s="56"/>
      <c r="F97" s="57"/>
    </row>
    <row r="98" spans="1:6" ht="15" x14ac:dyDescent="0.3">
      <c r="A98" s="4" t="s">
        <v>175</v>
      </c>
      <c r="B98" s="27" t="s">
        <v>176</v>
      </c>
      <c r="C98" s="8"/>
      <c r="D98" s="2"/>
      <c r="E98" s="8"/>
      <c r="F98" s="113" t="s">
        <v>261</v>
      </c>
    </row>
    <row r="99" spans="1:6" x14ac:dyDescent="0.3">
      <c r="A99" s="5" t="s">
        <v>178</v>
      </c>
      <c r="B99" s="29" t="s">
        <v>179</v>
      </c>
      <c r="C99" s="8"/>
      <c r="D99" s="2"/>
      <c r="E99" s="8"/>
      <c r="F99" s="114"/>
    </row>
    <row r="100" spans="1:6" x14ac:dyDescent="0.3">
      <c r="A100" s="5" t="s">
        <v>180</v>
      </c>
      <c r="B100" s="29" t="s">
        <v>181</v>
      </c>
      <c r="C100" s="8"/>
      <c r="D100" s="2"/>
      <c r="E100" s="8"/>
      <c r="F100" s="114"/>
    </row>
    <row r="101" spans="1:6" x14ac:dyDescent="0.3">
      <c r="A101" s="5" t="s">
        <v>182</v>
      </c>
      <c r="B101" s="29" t="s">
        <v>183</v>
      </c>
      <c r="C101" s="8"/>
      <c r="D101" s="2"/>
      <c r="E101" s="8"/>
      <c r="F101" s="114"/>
    </row>
    <row r="102" spans="1:6" x14ac:dyDescent="0.3">
      <c r="A102" s="5" t="s">
        <v>184</v>
      </c>
      <c r="B102" s="29" t="s">
        <v>185</v>
      </c>
      <c r="C102" s="8"/>
      <c r="D102" s="2"/>
      <c r="E102" s="8"/>
      <c r="F102" s="114"/>
    </row>
    <row r="103" spans="1:6" x14ac:dyDescent="0.3">
      <c r="A103" s="5" t="s">
        <v>186</v>
      </c>
      <c r="B103" s="29" t="s">
        <v>187</v>
      </c>
      <c r="C103" s="8"/>
      <c r="D103" s="2"/>
      <c r="E103" s="8"/>
      <c r="F103" s="114"/>
    </row>
    <row r="104" spans="1:6" x14ac:dyDescent="0.3">
      <c r="A104" s="5" t="s">
        <v>188</v>
      </c>
      <c r="B104" s="29" t="s">
        <v>189</v>
      </c>
      <c r="C104" s="8"/>
      <c r="D104" s="2"/>
      <c r="E104" s="8"/>
      <c r="F104" s="114"/>
    </row>
    <row r="105" spans="1:6" x14ac:dyDescent="0.3">
      <c r="A105" s="5" t="s">
        <v>190</v>
      </c>
      <c r="B105" s="29" t="s">
        <v>191</v>
      </c>
      <c r="C105" s="8"/>
      <c r="D105" s="2"/>
      <c r="E105" s="8"/>
      <c r="F105" s="114"/>
    </row>
    <row r="106" spans="1:6" x14ac:dyDescent="0.3">
      <c r="A106" s="5" t="s">
        <v>192</v>
      </c>
      <c r="B106" s="29" t="s">
        <v>193</v>
      </c>
      <c r="C106" s="8"/>
      <c r="D106" s="2"/>
      <c r="E106" s="8"/>
      <c r="F106" s="114"/>
    </row>
    <row r="107" spans="1:6" x14ac:dyDescent="0.3">
      <c r="A107" s="5" t="s">
        <v>194</v>
      </c>
      <c r="B107" s="29" t="s">
        <v>195</v>
      </c>
      <c r="C107" s="8"/>
      <c r="D107" s="2"/>
      <c r="E107" s="8"/>
      <c r="F107" s="115"/>
    </row>
    <row r="108" spans="1:6" ht="15" x14ac:dyDescent="0.3">
      <c r="A108" s="4" t="s">
        <v>196</v>
      </c>
      <c r="B108" s="27" t="s">
        <v>197</v>
      </c>
      <c r="C108" s="8"/>
      <c r="D108" s="2"/>
      <c r="E108" s="8"/>
      <c r="F108" s="100" t="s">
        <v>198</v>
      </c>
    </row>
    <row r="109" spans="1:6" x14ac:dyDescent="0.3">
      <c r="A109" s="5" t="s">
        <v>199</v>
      </c>
      <c r="B109" s="29" t="s">
        <v>200</v>
      </c>
      <c r="C109" s="8"/>
      <c r="D109" s="2"/>
      <c r="E109" s="8"/>
      <c r="F109" s="101"/>
    </row>
    <row r="110" spans="1:6" x14ac:dyDescent="0.3">
      <c r="A110" s="5" t="s">
        <v>201</v>
      </c>
      <c r="B110" s="29" t="s">
        <v>202</v>
      </c>
      <c r="C110" s="8"/>
      <c r="D110" s="2"/>
      <c r="E110" s="8"/>
      <c r="F110" s="101"/>
    </row>
    <row r="111" spans="1:6" x14ac:dyDescent="0.3">
      <c r="A111" s="5" t="s">
        <v>203</v>
      </c>
      <c r="B111" s="29" t="s">
        <v>204</v>
      </c>
      <c r="C111" s="8"/>
      <c r="D111" s="2"/>
      <c r="E111" s="8"/>
      <c r="F111" s="101"/>
    </row>
    <row r="112" spans="1:6" x14ac:dyDescent="0.3">
      <c r="A112" s="5" t="s">
        <v>205</v>
      </c>
      <c r="B112" s="29" t="s">
        <v>206</v>
      </c>
      <c r="C112" s="8"/>
      <c r="D112" s="2"/>
      <c r="E112" s="8"/>
      <c r="F112" s="101"/>
    </row>
    <row r="113" spans="1:6" x14ac:dyDescent="0.3">
      <c r="A113" s="5" t="s">
        <v>207</v>
      </c>
      <c r="B113" s="29" t="s">
        <v>208</v>
      </c>
      <c r="C113" s="8"/>
      <c r="D113" s="2"/>
      <c r="E113" s="8"/>
      <c r="F113" s="101"/>
    </row>
    <row r="114" spans="1:6" x14ac:dyDescent="0.3">
      <c r="A114" s="5" t="s">
        <v>209</v>
      </c>
      <c r="B114" s="29" t="s">
        <v>210</v>
      </c>
      <c r="C114" s="8"/>
      <c r="D114" s="2"/>
      <c r="E114" s="8"/>
      <c r="F114" s="101"/>
    </row>
    <row r="115" spans="1:6" x14ac:dyDescent="0.3">
      <c r="A115" s="5" t="s">
        <v>211</v>
      </c>
      <c r="B115" s="29" t="s">
        <v>212</v>
      </c>
      <c r="C115" s="8"/>
      <c r="D115" s="2"/>
      <c r="E115" s="8"/>
      <c r="F115" s="102"/>
    </row>
    <row r="116" spans="1:6" ht="15" x14ac:dyDescent="0.3">
      <c r="A116" s="4" t="s">
        <v>213</v>
      </c>
      <c r="B116" s="27" t="s">
        <v>214</v>
      </c>
      <c r="C116" s="8"/>
      <c r="D116" s="2"/>
      <c r="E116" s="8"/>
      <c r="F116" s="11"/>
    </row>
    <row r="117" spans="1:6" x14ac:dyDescent="0.3">
      <c r="A117" s="5" t="s">
        <v>215</v>
      </c>
      <c r="B117" s="29" t="s">
        <v>216</v>
      </c>
      <c r="C117" s="8"/>
      <c r="D117" s="2"/>
      <c r="E117" s="8"/>
      <c r="F117" s="9"/>
    </row>
    <row r="118" spans="1:6" x14ac:dyDescent="0.3">
      <c r="A118" s="5" t="s">
        <v>217</v>
      </c>
      <c r="B118" s="29" t="s">
        <v>218</v>
      </c>
      <c r="C118" s="8"/>
      <c r="D118" s="2"/>
      <c r="E118" s="8"/>
      <c r="F118" s="9"/>
    </row>
    <row r="119" spans="1:6" x14ac:dyDescent="0.3">
      <c r="A119" s="5" t="s">
        <v>219</v>
      </c>
      <c r="B119" s="29" t="s">
        <v>220</v>
      </c>
      <c r="C119" s="8"/>
      <c r="D119" s="2"/>
      <c r="E119" s="8"/>
      <c r="F119" s="9"/>
    </row>
    <row r="120" spans="1:6" x14ac:dyDescent="0.3">
      <c r="A120" s="54"/>
      <c r="B120" s="55"/>
      <c r="C120" s="56"/>
      <c r="D120" s="68"/>
      <c r="E120" s="56"/>
      <c r="F120" s="57"/>
    </row>
    <row r="121" spans="1:6" ht="19.2" x14ac:dyDescent="0.3">
      <c r="A121" s="3" t="s">
        <v>221</v>
      </c>
      <c r="B121" s="26" t="s">
        <v>222</v>
      </c>
      <c r="C121" s="8"/>
      <c r="D121" s="2"/>
      <c r="E121" s="8"/>
      <c r="F121" s="9"/>
    </row>
    <row r="122" spans="1:6" x14ac:dyDescent="0.3">
      <c r="A122" s="54"/>
      <c r="B122" s="90"/>
      <c r="C122" s="56"/>
      <c r="D122" s="68"/>
      <c r="E122" s="56"/>
      <c r="F122" s="57"/>
    </row>
    <row r="123" spans="1:6" ht="15" x14ac:dyDescent="0.3">
      <c r="A123" s="4" t="s">
        <v>223</v>
      </c>
      <c r="B123" s="27" t="s">
        <v>224</v>
      </c>
      <c r="C123" s="8"/>
      <c r="D123" s="2"/>
      <c r="E123" s="8"/>
      <c r="F123" s="9"/>
    </row>
    <row r="124" spans="1:6" ht="15" x14ac:dyDescent="0.3">
      <c r="A124" s="4" t="s">
        <v>225</v>
      </c>
      <c r="B124" s="27" t="s">
        <v>226</v>
      </c>
      <c r="C124" s="8"/>
      <c r="D124" s="2"/>
      <c r="E124" s="8"/>
      <c r="F124" s="9"/>
    </row>
    <row r="125" spans="1:6" ht="30" x14ac:dyDescent="0.3">
      <c r="A125" s="4" t="s">
        <v>227</v>
      </c>
      <c r="B125" s="27" t="s">
        <v>228</v>
      </c>
      <c r="C125" s="8"/>
      <c r="D125" s="2"/>
      <c r="E125" s="8"/>
      <c r="F125" s="9"/>
    </row>
    <row r="126" spans="1:6" ht="15" x14ac:dyDescent="0.3">
      <c r="A126" s="4" t="s">
        <v>229</v>
      </c>
      <c r="B126" s="27" t="s">
        <v>230</v>
      </c>
      <c r="C126" s="8"/>
      <c r="D126" s="2"/>
      <c r="E126" s="8"/>
      <c r="F126" s="9"/>
    </row>
    <row r="127" spans="1:6" x14ac:dyDescent="0.3">
      <c r="A127" s="54"/>
      <c r="B127" s="55"/>
      <c r="C127" s="56"/>
      <c r="D127" s="68"/>
      <c r="E127" s="56"/>
      <c r="F127" s="57"/>
    </row>
    <row r="128" spans="1:6" ht="19.2" x14ac:dyDescent="0.3">
      <c r="A128" s="3" t="s">
        <v>231</v>
      </c>
      <c r="B128" s="26" t="s">
        <v>232</v>
      </c>
      <c r="C128" s="8"/>
      <c r="D128" s="2"/>
      <c r="E128" s="8"/>
      <c r="F128" s="9"/>
    </row>
    <row r="129" spans="1:6" ht="19.2" x14ac:dyDescent="0.3">
      <c r="A129" s="58"/>
      <c r="B129" s="59"/>
      <c r="C129" s="56"/>
      <c r="D129" s="68"/>
      <c r="E129" s="56"/>
      <c r="F129" s="57"/>
    </row>
    <row r="130" spans="1:6" ht="30" x14ac:dyDescent="0.3">
      <c r="A130" s="4" t="s">
        <v>233</v>
      </c>
      <c r="B130" s="27" t="s">
        <v>234</v>
      </c>
      <c r="C130" s="8"/>
      <c r="D130" s="2"/>
      <c r="E130" s="8"/>
      <c r="F130" s="9"/>
    </row>
    <row r="131" spans="1:6" ht="30" x14ac:dyDescent="0.3">
      <c r="A131" s="4" t="s">
        <v>235</v>
      </c>
      <c r="B131" s="27" t="s">
        <v>236</v>
      </c>
      <c r="C131" s="8"/>
      <c r="D131" s="2"/>
      <c r="E131" s="8"/>
      <c r="F131" s="9"/>
    </row>
    <row r="132" spans="1:6" ht="15" x14ac:dyDescent="0.3">
      <c r="A132" s="4" t="s">
        <v>237</v>
      </c>
      <c r="B132" s="27" t="s">
        <v>238</v>
      </c>
      <c r="C132" s="8"/>
      <c r="D132" s="2"/>
      <c r="E132" s="8"/>
      <c r="F132" s="9"/>
    </row>
    <row r="133" spans="1:6" ht="30" x14ac:dyDescent="0.3">
      <c r="A133" s="6" t="s">
        <v>239</v>
      </c>
      <c r="B133" s="16" t="s">
        <v>240</v>
      </c>
      <c r="C133" s="85"/>
      <c r="D133" s="75"/>
      <c r="E133" s="74"/>
      <c r="F133" s="49"/>
    </row>
  </sheetData>
  <mergeCells count="12">
    <mergeCell ref="F44:F45"/>
    <mergeCell ref="D1:D3"/>
    <mergeCell ref="F1:F3"/>
    <mergeCell ref="F28:F29"/>
    <mergeCell ref="F34:F35"/>
    <mergeCell ref="F98:F107"/>
    <mergeCell ref="F108:F115"/>
    <mergeCell ref="F73:F75"/>
    <mergeCell ref="G81:G86"/>
    <mergeCell ref="F85:F90"/>
    <mergeCell ref="G87:G90"/>
    <mergeCell ref="F91:F94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1fadd4-5d97-4546-917c-f81e95afdc73" xsi:nil="true"/>
    <Data xmlns="c420b4a8-723d-48a9-9990-675fc8ae906b" xsi:nil="true"/>
    <lcf76f155ced4ddcb4097134ff3c332f xmlns="c420b4a8-723d-48a9-9990-675fc8ae90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52ED0D5E96D443BFD962FC85CCAC16" ma:contentTypeVersion="20" ma:contentTypeDescription="Crie um novo documento." ma:contentTypeScope="" ma:versionID="a4914a02239da8ec5a5dd61cd31e7513">
  <xsd:schema xmlns:xsd="http://www.w3.org/2001/XMLSchema" xmlns:xs="http://www.w3.org/2001/XMLSchema" xmlns:p="http://schemas.microsoft.com/office/2006/metadata/properties" xmlns:ns2="5b1fadd4-5d97-4546-917c-f81e95afdc73" xmlns:ns3="c420b4a8-723d-48a9-9990-675fc8ae906b" targetNamespace="http://schemas.microsoft.com/office/2006/metadata/properties" ma:root="true" ma:fieldsID="9624754aea4b6b72a82959344c226959" ns2:_="" ns3:_="">
    <xsd:import namespace="5b1fadd4-5d97-4546-917c-f81e95afdc73"/>
    <xsd:import namespace="c420b4a8-723d-48a9-9990-675fc8ae906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Data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fadd4-5d97-4546-917c-f81e95afdc73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ae2f7923-f655-44db-8eee-4dcc4afb2363}" ma:internalName="TaxCatchAll" ma:showField="CatchAllData" ma:web="5b1fadd4-5d97-4546-917c-f81e95afdc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20b4a8-723d-48a9-9990-675fc8ae90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58a1e6ce-b763-4f85-8081-a121666cbf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" ma:index="23" nillable="true" ma:displayName="Data" ma:format="DateOnly" ma:internalName="Data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9E3837-DC8F-46AB-ABCC-2C24E03C44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7C06DE-1AA6-494D-A5C4-6BE3662855E5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420b4a8-723d-48a9-9990-675fc8ae906b"/>
    <ds:schemaRef ds:uri="5b1fadd4-5d97-4546-917c-f81e95afdc7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CA7ED3C-86C4-4A06-A643-F8B3A195B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1fadd4-5d97-4546-917c-f81e95afdc73"/>
    <ds:schemaRef ds:uri="c420b4a8-723d-48a9-9990-675fc8ae90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Incorporação</vt:lpstr>
      <vt:lpstr>Urbanismo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Matheus Sousa Neves Barbosa</dc:creator>
  <cp:keywords/>
  <dc:description/>
  <cp:lastModifiedBy>João Victor Medeiros Lemos</cp:lastModifiedBy>
  <cp:revision/>
  <dcterms:created xsi:type="dcterms:W3CDTF">2015-06-05T18:17:20Z</dcterms:created>
  <dcterms:modified xsi:type="dcterms:W3CDTF">2026-02-04T12:27:05Z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0x010100A852ED0D5E96D443BFD962FC85CCAC16</vt:lpwstr>
  </property>
  <property fmtid="{D5CDD505-2E9C-101B-9397-08002B2CF9AE}" pid="3" name="MediaServiceImageTags">
    <vt:lpwstr/>
  </property>
</Properties>
</file>